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/>
  <mc:AlternateContent xmlns:mc="http://schemas.openxmlformats.org/markup-compatibility/2006">
    <mc:Choice Requires="x15">
      <x15ac:absPath xmlns:x15ac="http://schemas.microsoft.com/office/spreadsheetml/2010/11/ac" url="\\172.16.15.9\pdoc\Хостел\Хостел Дом престарелых\90_AI_Drafts\Бизнес_план_Малаховка_2026-09-16\06_Пересчет_аренда_700\"/>
    </mc:Choice>
  </mc:AlternateContent>
  <xr:revisionPtr revIDLastSave="0" documentId="13_ncr:1_{C06AA13A-EB8C-47EA-B55C-674F29BB6A28}" xr6:coauthVersionLast="40" xr6:coauthVersionMax="40" xr10:uidLastSave="{00000000-0000-0000-0000-000000000000}"/>
  <bookViews>
    <workbookView xWindow="47985" yWindow="3795" windowWidth="16815" windowHeight="9540" xr2:uid="{00000000-000D-0000-FFFF-FFFF00000000}"/>
  </bookViews>
  <sheets>
    <sheet name="Итоги" sheetId="1" r:id="rId1"/>
    <sheet name="Параметры" sheetId="2" r:id="rId2"/>
    <sheet name="Помесячно" sheetId="3" r:id="rId3"/>
    <sheet name="Штат" sheetId="4" r:id="rId4"/>
    <sheet name="Инвестиции" sheetId="5" r:id="rId5"/>
  </sheets>
  <calcPr calcId="191029"/>
</workbook>
</file>

<file path=xl/calcChain.xml><?xml version="1.0" encoding="utf-8"?>
<calcChain xmlns="http://schemas.openxmlformats.org/spreadsheetml/2006/main">
  <c r="G32" i="5" l="1"/>
  <c r="F28" i="1" s="1"/>
  <c r="G21" i="5"/>
  <c r="G20" i="5"/>
  <c r="G19" i="5"/>
  <c r="G18" i="5"/>
  <c r="G17" i="5"/>
  <c r="G16" i="5"/>
  <c r="G15" i="5"/>
  <c r="G14" i="5"/>
  <c r="G13" i="5"/>
  <c r="G12" i="5"/>
  <c r="D17" i="4"/>
  <c r="F15" i="4"/>
  <c r="F14" i="4"/>
  <c r="F13" i="4"/>
  <c r="F12" i="4"/>
  <c r="F11" i="4"/>
  <c r="F10" i="4"/>
  <c r="F9" i="4"/>
  <c r="F8" i="4"/>
  <c r="S42" i="3"/>
  <c r="F23" i="3"/>
  <c r="F22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AC6" i="3"/>
  <c r="AC40" i="3" s="1"/>
  <c r="AB6" i="3"/>
  <c r="AB7" i="3" s="1"/>
  <c r="AB9" i="3" s="1"/>
  <c r="AA6" i="3"/>
  <c r="AA40" i="3" s="1"/>
  <c r="Z6" i="3"/>
  <c r="Z40" i="3" s="1"/>
  <c r="Y6" i="3"/>
  <c r="Y7" i="3" s="1"/>
  <c r="Y8" i="3" s="1"/>
  <c r="X6" i="3"/>
  <c r="X7" i="3" s="1"/>
  <c r="X8" i="3" s="1"/>
  <c r="W6" i="3"/>
  <c r="W7" i="3" s="1"/>
  <c r="W8" i="3" s="1"/>
  <c r="V6" i="3"/>
  <c r="V42" i="3" s="1"/>
  <c r="U6" i="3"/>
  <c r="U7" i="3" s="1"/>
  <c r="U8" i="3" s="1"/>
  <c r="U39" i="3" s="1"/>
  <c r="T6" i="3"/>
  <c r="T42" i="3" s="1"/>
  <c r="S6" i="3"/>
  <c r="R6" i="3"/>
  <c r="R40" i="3" s="1"/>
  <c r="Q6" i="3"/>
  <c r="Q40" i="3" s="1"/>
  <c r="P6" i="3"/>
  <c r="P42" i="3" s="1"/>
  <c r="O6" i="3"/>
  <c r="O42" i="3" s="1"/>
  <c r="N6" i="3"/>
  <c r="N42" i="3" s="1"/>
  <c r="M6" i="3"/>
  <c r="M42" i="3" s="1"/>
  <c r="L6" i="3"/>
  <c r="L40" i="3" s="1"/>
  <c r="K6" i="3"/>
  <c r="K40" i="3" s="1"/>
  <c r="J6" i="3"/>
  <c r="J40" i="3" s="1"/>
  <c r="I6" i="3"/>
  <c r="I40" i="3" s="1"/>
  <c r="H6" i="3"/>
  <c r="H7" i="3" s="1"/>
  <c r="H9" i="3" s="1"/>
  <c r="G6" i="3"/>
  <c r="G7" i="3" s="1"/>
  <c r="F6" i="3"/>
  <c r="F7" i="3" s="1"/>
  <c r="AC87" i="2"/>
  <c r="AC48" i="3" s="1"/>
  <c r="AB87" i="2"/>
  <c r="AB48" i="3" s="1"/>
  <c r="AA87" i="2"/>
  <c r="AA48" i="3" s="1"/>
  <c r="Z87" i="2"/>
  <c r="Z48" i="3" s="1"/>
  <c r="Y87" i="2"/>
  <c r="Y48" i="3" s="1"/>
  <c r="X87" i="2"/>
  <c r="X48" i="3" s="1"/>
  <c r="W87" i="2"/>
  <c r="W48" i="3" s="1"/>
  <c r="V87" i="2"/>
  <c r="V48" i="3" s="1"/>
  <c r="U87" i="2"/>
  <c r="U48" i="3" s="1"/>
  <c r="T87" i="2"/>
  <c r="T48" i="3" s="1"/>
  <c r="S87" i="2"/>
  <c r="S48" i="3" s="1"/>
  <c r="R87" i="2"/>
  <c r="R48" i="3" s="1"/>
  <c r="Q87" i="2"/>
  <c r="Q48" i="3" s="1"/>
  <c r="P87" i="2"/>
  <c r="P48" i="3" s="1"/>
  <c r="O87" i="2"/>
  <c r="O48" i="3" s="1"/>
  <c r="N87" i="2"/>
  <c r="N48" i="3" s="1"/>
  <c r="M87" i="2"/>
  <c r="M48" i="3" s="1"/>
  <c r="L87" i="2"/>
  <c r="L48" i="3" s="1"/>
  <c r="K87" i="2"/>
  <c r="K48" i="3" s="1"/>
  <c r="J87" i="2"/>
  <c r="J48" i="3" s="1"/>
  <c r="I87" i="2"/>
  <c r="I48" i="3" s="1"/>
  <c r="H87" i="2"/>
  <c r="H48" i="3" s="1"/>
  <c r="G87" i="2"/>
  <c r="G48" i="3" s="1"/>
  <c r="F87" i="2"/>
  <c r="F48" i="3" s="1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41" i="2"/>
  <c r="D30" i="2"/>
  <c r="D25" i="2"/>
  <c r="D20" i="2"/>
  <c r="F11" i="3" s="1"/>
  <c r="F16" i="3" s="1"/>
  <c r="D15" i="2"/>
  <c r="D10" i="2"/>
  <c r="D11" i="5" s="1"/>
  <c r="G11" i="5" s="1"/>
  <c r="E5" i="2"/>
  <c r="D4" i="5" s="1"/>
  <c r="J42" i="3" l="1"/>
  <c r="J43" i="3" s="1"/>
  <c r="K42" i="3"/>
  <c r="K43" i="3" s="1"/>
  <c r="L42" i="3"/>
  <c r="L43" i="3" s="1"/>
  <c r="Q42" i="3"/>
  <c r="Q43" i="3" s="1"/>
  <c r="R42" i="3"/>
  <c r="R43" i="3" s="1"/>
  <c r="K19" i="3"/>
  <c r="L31" i="3"/>
  <c r="U42" i="3"/>
  <c r="U43" i="3" s="1"/>
  <c r="W42" i="3"/>
  <c r="W43" i="3" s="1"/>
  <c r="X42" i="3"/>
  <c r="X43" i="3" s="1"/>
  <c r="Y42" i="3"/>
  <c r="Y43" i="3" s="1"/>
  <c r="F42" i="3"/>
  <c r="F43" i="3" s="1"/>
  <c r="Z42" i="3"/>
  <c r="Z43" i="3" s="1"/>
  <c r="G42" i="3"/>
  <c r="G43" i="3" s="1"/>
  <c r="AA42" i="3"/>
  <c r="AA43" i="3" s="1"/>
  <c r="H42" i="3"/>
  <c r="H43" i="3" s="1"/>
  <c r="AB42" i="3"/>
  <c r="AB43" i="3" s="1"/>
  <c r="I42" i="3"/>
  <c r="I43" i="3" s="1"/>
  <c r="AC42" i="3"/>
  <c r="AC43" i="3" s="1"/>
  <c r="I13" i="1" s="1"/>
  <c r="AB37" i="3"/>
  <c r="K37" i="3"/>
  <c r="R10" i="3"/>
  <c r="R12" i="3" s="1"/>
  <c r="S10" i="3"/>
  <c r="S12" i="3" s="1"/>
  <c r="T11" i="3" s="1"/>
  <c r="T10" i="3"/>
  <c r="T12" i="3" s="1"/>
  <c r="U11" i="3" s="1"/>
  <c r="L37" i="3"/>
  <c r="R37" i="3"/>
  <c r="AC37" i="3"/>
  <c r="F40" i="3"/>
  <c r="G40" i="3"/>
  <c r="K7" i="3"/>
  <c r="K8" i="3" s="1"/>
  <c r="K39" i="3" s="1"/>
  <c r="Z7" i="3"/>
  <c r="Z9" i="3" s="1"/>
  <c r="AA7" i="3"/>
  <c r="AA8" i="3" s="1"/>
  <c r="AA39" i="3" s="1"/>
  <c r="AC7" i="3"/>
  <c r="I7" i="1" s="1"/>
  <c r="F10" i="3"/>
  <c r="F61" i="3" s="1"/>
  <c r="Q10" i="3"/>
  <c r="Q12" i="3" s="1"/>
  <c r="R11" i="3" s="1"/>
  <c r="G10" i="3"/>
  <c r="G12" i="3" s="1"/>
  <c r="S37" i="3"/>
  <c r="U10" i="3"/>
  <c r="U12" i="3" s="1"/>
  <c r="W10" i="3"/>
  <c r="W12" i="3" s="1"/>
  <c r="X11" i="3" s="1"/>
  <c r="X10" i="3"/>
  <c r="X12" i="3" s="1"/>
  <c r="Y11" i="3" s="1"/>
  <c r="U19" i="3"/>
  <c r="V19" i="3"/>
  <c r="X19" i="3"/>
  <c r="M43" i="3"/>
  <c r="F45" i="1"/>
  <c r="N43" i="3"/>
  <c r="L7" i="3"/>
  <c r="L9" i="3" s="1"/>
  <c r="R7" i="3"/>
  <c r="R9" i="3" s="1"/>
  <c r="Y19" i="3"/>
  <c r="AB19" i="3"/>
  <c r="AC19" i="3"/>
  <c r="O37" i="3"/>
  <c r="AA19" i="3"/>
  <c r="P37" i="3"/>
  <c r="G8" i="3"/>
  <c r="G39" i="3" s="1"/>
  <c r="G9" i="3"/>
  <c r="F9" i="3"/>
  <c r="F8" i="3"/>
  <c r="F39" i="3" s="1"/>
  <c r="O7" i="3"/>
  <c r="O9" i="3" s="1"/>
  <c r="O43" i="3"/>
  <c r="F13" i="1" s="1"/>
  <c r="H8" i="3"/>
  <c r="H39" i="3" s="1"/>
  <c r="Y10" i="3"/>
  <c r="Y12" i="3" s="1"/>
  <c r="P7" i="3"/>
  <c r="G7" i="1" s="1"/>
  <c r="Z10" i="3"/>
  <c r="Z12" i="3" s="1"/>
  <c r="X40" i="3"/>
  <c r="AA10" i="3"/>
  <c r="AA12" i="3" s="1"/>
  <c r="AB11" i="3" s="1"/>
  <c r="Y40" i="3"/>
  <c r="AB8" i="3"/>
  <c r="AB39" i="3" s="1"/>
  <c r="M31" i="3"/>
  <c r="D4" i="1"/>
  <c r="N31" i="3"/>
  <c r="G19" i="3"/>
  <c r="O31" i="3"/>
  <c r="H19" i="3"/>
  <c r="U31" i="3"/>
  <c r="I19" i="3"/>
  <c r="V31" i="3"/>
  <c r="I7" i="3"/>
  <c r="J19" i="3"/>
  <c r="I37" i="3"/>
  <c r="D4" i="4"/>
  <c r="M37" i="3"/>
  <c r="J7" i="3"/>
  <c r="J8" i="3" s="1"/>
  <c r="J39" i="3" s="1"/>
  <c r="U9" i="3"/>
  <c r="J37" i="3"/>
  <c r="Y39" i="3"/>
  <c r="Q7" i="3"/>
  <c r="T7" i="3"/>
  <c r="S7" i="3"/>
  <c r="W39" i="3"/>
  <c r="V7" i="3"/>
  <c r="V40" i="3"/>
  <c r="P31" i="3"/>
  <c r="X39" i="3"/>
  <c r="Q31" i="3"/>
  <c r="Y9" i="3"/>
  <c r="F24" i="3"/>
  <c r="W31" i="3"/>
  <c r="S31" i="3"/>
  <c r="T31" i="3"/>
  <c r="T19" i="3"/>
  <c r="S40" i="3"/>
  <c r="T40" i="3"/>
  <c r="U40" i="3"/>
  <c r="N40" i="3"/>
  <c r="N7" i="3"/>
  <c r="W40" i="3"/>
  <c r="M40" i="3"/>
  <c r="W9" i="3"/>
  <c r="W19" i="3"/>
  <c r="X9" i="3"/>
  <c r="O40" i="3"/>
  <c r="P40" i="3"/>
  <c r="M7" i="3"/>
  <c r="Q37" i="3"/>
  <c r="F17" i="4"/>
  <c r="V10" i="3"/>
  <c r="V12" i="3" s="1"/>
  <c r="F19" i="3"/>
  <c r="Z19" i="3"/>
  <c r="R31" i="3"/>
  <c r="N37" i="3"/>
  <c r="F46" i="1"/>
  <c r="H10" i="3"/>
  <c r="H12" i="3" s="1"/>
  <c r="AB10" i="3"/>
  <c r="AB12" i="3" s="1"/>
  <c r="L19" i="3"/>
  <c r="X31" i="3"/>
  <c r="T37" i="3"/>
  <c r="H40" i="3"/>
  <c r="AB40" i="3"/>
  <c r="P43" i="3"/>
  <c r="D4" i="2"/>
  <c r="F4" i="3"/>
  <c r="I10" i="3"/>
  <c r="I12" i="3" s="1"/>
  <c r="AC10" i="3"/>
  <c r="AC12" i="3" s="1"/>
  <c r="M19" i="3"/>
  <c r="Y31" i="3"/>
  <c r="U37" i="3"/>
  <c r="J10" i="3"/>
  <c r="J12" i="3" s="1"/>
  <c r="N19" i="3"/>
  <c r="F31" i="3"/>
  <c r="Z31" i="3"/>
  <c r="V37" i="3"/>
  <c r="D8" i="5"/>
  <c r="G8" i="5" s="1"/>
  <c r="K10" i="3"/>
  <c r="K12" i="3" s="1"/>
  <c r="O19" i="3"/>
  <c r="G31" i="3"/>
  <c r="AA31" i="3"/>
  <c r="W37" i="3"/>
  <c r="S43" i="3"/>
  <c r="F28" i="5"/>
  <c r="G28" i="5" s="1"/>
  <c r="F27" i="1" s="1"/>
  <c r="L10" i="3"/>
  <c r="L12" i="3" s="1"/>
  <c r="P19" i="3"/>
  <c r="H31" i="3"/>
  <c r="AB31" i="3"/>
  <c r="X37" i="3"/>
  <c r="T43" i="3"/>
  <c r="D9" i="5"/>
  <c r="G9" i="5" s="1"/>
  <c r="M10" i="3"/>
  <c r="M12" i="3" s="1"/>
  <c r="Q19" i="3"/>
  <c r="I31" i="3"/>
  <c r="AC31" i="3"/>
  <c r="Y37" i="3"/>
  <c r="N10" i="3"/>
  <c r="N12" i="3" s="1"/>
  <c r="R19" i="3"/>
  <c r="J31" i="3"/>
  <c r="F37" i="3"/>
  <c r="Z37" i="3"/>
  <c r="V43" i="3"/>
  <c r="D10" i="5"/>
  <c r="G10" i="5" s="1"/>
  <c r="O10" i="3"/>
  <c r="O12" i="3" s="1"/>
  <c r="S19" i="3"/>
  <c r="K31" i="3"/>
  <c r="G37" i="3"/>
  <c r="AA37" i="3"/>
  <c r="P10" i="3"/>
  <c r="P12" i="3" s="1"/>
  <c r="H37" i="3"/>
  <c r="T15" i="3" l="1"/>
  <c r="T29" i="3" s="1"/>
  <c r="T13" i="3"/>
  <c r="T14" i="3" s="1"/>
  <c r="T61" i="3"/>
  <c r="X61" i="3"/>
  <c r="T16" i="3"/>
  <c r="T17" i="3" s="1"/>
  <c r="T18" i="3" s="1"/>
  <c r="T59" i="3" s="1"/>
  <c r="AC9" i="3"/>
  <c r="AA9" i="3"/>
  <c r="Z8" i="3"/>
  <c r="Z39" i="3" s="1"/>
  <c r="R13" i="3"/>
  <c r="R14" i="3" s="1"/>
  <c r="AC8" i="3"/>
  <c r="AC39" i="3" s="1"/>
  <c r="K9" i="3"/>
  <c r="R15" i="3"/>
  <c r="R29" i="3" s="1"/>
  <c r="F12" i="3"/>
  <c r="F15" i="3" s="1"/>
  <c r="F29" i="3" s="1"/>
  <c r="R16" i="3"/>
  <c r="R17" i="3" s="1"/>
  <c r="R18" i="3" s="1"/>
  <c r="R59" i="3" s="1"/>
  <c r="U61" i="3"/>
  <c r="R61" i="3"/>
  <c r="R8" i="3"/>
  <c r="R39" i="3" s="1"/>
  <c r="G22" i="5"/>
  <c r="G23" i="5" s="1"/>
  <c r="G24" i="5" s="1"/>
  <c r="Y61" i="3"/>
  <c r="L8" i="3"/>
  <c r="L39" i="3" s="1"/>
  <c r="P9" i="3"/>
  <c r="O8" i="3"/>
  <c r="O39" i="3" s="1"/>
  <c r="P8" i="3"/>
  <c r="P39" i="3" s="1"/>
  <c r="F7" i="1"/>
  <c r="I8" i="3"/>
  <c r="I39" i="3" s="1"/>
  <c r="I9" i="3"/>
  <c r="J9" i="3"/>
  <c r="G22" i="3"/>
  <c r="H22" i="3" s="1"/>
  <c r="Z11" i="3"/>
  <c r="U13" i="3"/>
  <c r="U15" i="3"/>
  <c r="U16" i="3"/>
  <c r="U17" i="3" s="1"/>
  <c r="U18" i="3" s="1"/>
  <c r="U59" i="3" s="1"/>
  <c r="X13" i="3"/>
  <c r="X16" i="3"/>
  <c r="X17" i="3" s="1"/>
  <c r="X18" i="3" s="1"/>
  <c r="X59" i="3" s="1"/>
  <c r="X15" i="3"/>
  <c r="Q9" i="3"/>
  <c r="Q8" i="3"/>
  <c r="H7" i="1"/>
  <c r="Y16" i="3"/>
  <c r="Y17" i="3" s="1"/>
  <c r="Y18" i="3" s="1"/>
  <c r="Y59" i="3" s="1"/>
  <c r="Y13" i="3"/>
  <c r="Y15" i="3"/>
  <c r="L11" i="3"/>
  <c r="S9" i="3"/>
  <c r="S8" i="3"/>
  <c r="N11" i="3"/>
  <c r="W11" i="3"/>
  <c r="S11" i="3"/>
  <c r="I11" i="3"/>
  <c r="X33" i="3"/>
  <c r="W33" i="3"/>
  <c r="V33" i="3"/>
  <c r="U33" i="3"/>
  <c r="T33" i="3"/>
  <c r="S33" i="3"/>
  <c r="R33" i="3"/>
  <c r="Q33" i="3"/>
  <c r="P33" i="3"/>
  <c r="J33" i="3"/>
  <c r="L33" i="3"/>
  <c r="M33" i="3"/>
  <c r="AC33" i="3"/>
  <c r="AB33" i="3"/>
  <c r="AA33" i="3"/>
  <c r="N33" i="3"/>
  <c r="I33" i="3"/>
  <c r="Z33" i="3"/>
  <c r="K33" i="3"/>
  <c r="Y33" i="3"/>
  <c r="O33" i="3"/>
  <c r="H33" i="3"/>
  <c r="G33" i="3"/>
  <c r="F33" i="3"/>
  <c r="AA11" i="3"/>
  <c r="J11" i="3"/>
  <c r="O11" i="3"/>
  <c r="H11" i="3"/>
  <c r="Q11" i="3"/>
  <c r="P11" i="3"/>
  <c r="T9" i="3"/>
  <c r="T8" i="3"/>
  <c r="AB16" i="3"/>
  <c r="AB17" i="3" s="1"/>
  <c r="AB18" i="3" s="1"/>
  <c r="AB59" i="3" s="1"/>
  <c r="AB15" i="3"/>
  <c r="AB13" i="3"/>
  <c r="V8" i="3"/>
  <c r="V9" i="3"/>
  <c r="AC11" i="3"/>
  <c r="V11" i="3"/>
  <c r="N9" i="3"/>
  <c r="N8" i="3"/>
  <c r="AB61" i="3"/>
  <c r="K11" i="3"/>
  <c r="K61" i="3" s="1"/>
  <c r="H13" i="1"/>
  <c r="M11" i="3"/>
  <c r="M9" i="3"/>
  <c r="M8" i="3"/>
  <c r="G13" i="1"/>
  <c r="T38" i="3" l="1"/>
  <c r="T28" i="3"/>
  <c r="T30" i="3" s="1"/>
  <c r="T32" i="3" s="1"/>
  <c r="T34" i="3" s="1"/>
  <c r="R28" i="3"/>
  <c r="R30" i="3" s="1"/>
  <c r="R32" i="3" s="1"/>
  <c r="R34" i="3" s="1"/>
  <c r="R35" i="3" s="1"/>
  <c r="R36" i="3" s="1"/>
  <c r="I22" i="3"/>
  <c r="J22" i="3" s="1"/>
  <c r="K22" i="3" s="1"/>
  <c r="R20" i="3"/>
  <c r="R41" i="3" s="1"/>
  <c r="R38" i="3"/>
  <c r="F17" i="3"/>
  <c r="F18" i="3" s="1"/>
  <c r="F59" i="3" s="1"/>
  <c r="F28" i="3"/>
  <c r="F30" i="3" s="1"/>
  <c r="F32" i="3" s="1"/>
  <c r="F34" i="3" s="1"/>
  <c r="F13" i="3"/>
  <c r="F38" i="3" s="1"/>
  <c r="G11" i="3"/>
  <c r="G16" i="3" s="1"/>
  <c r="G17" i="3" s="1"/>
  <c r="G18" i="3" s="1"/>
  <c r="G59" i="3" s="1"/>
  <c r="AB52" i="3"/>
  <c r="H52" i="3"/>
  <c r="AA52" i="3"/>
  <c r="G52" i="3"/>
  <c r="Z52" i="3"/>
  <c r="F52" i="3"/>
  <c r="G30" i="5"/>
  <c r="G31" i="5" s="1"/>
  <c r="Y52" i="3"/>
  <c r="X52" i="3"/>
  <c r="W52" i="3"/>
  <c r="V52" i="3"/>
  <c r="U52" i="3"/>
  <c r="T52" i="3"/>
  <c r="N52" i="3"/>
  <c r="M52" i="3"/>
  <c r="AC52" i="3"/>
  <c r="P52" i="3"/>
  <c r="S52" i="3"/>
  <c r="Q52" i="3"/>
  <c r="I52" i="3"/>
  <c r="R52" i="3"/>
  <c r="O52" i="3"/>
  <c r="L52" i="3"/>
  <c r="K52" i="3"/>
  <c r="J52" i="3"/>
  <c r="AA16" i="3"/>
  <c r="AA17" i="3" s="1"/>
  <c r="AA18" i="3" s="1"/>
  <c r="AA59" i="3" s="1"/>
  <c r="AA13" i="3"/>
  <c r="AA15" i="3"/>
  <c r="AA61" i="3"/>
  <c r="X28" i="3"/>
  <c r="X29" i="3"/>
  <c r="H16" i="3"/>
  <c r="H17" i="3" s="1"/>
  <c r="H18" i="3" s="1"/>
  <c r="H59" i="3" s="1"/>
  <c r="H15" i="3"/>
  <c r="H13" i="3"/>
  <c r="X38" i="3"/>
  <c r="X14" i="3"/>
  <c r="X20" i="3"/>
  <c r="U28" i="3"/>
  <c r="U29" i="3"/>
  <c r="O15" i="3"/>
  <c r="O16" i="3"/>
  <c r="O17" i="3" s="1"/>
  <c r="O18" i="3" s="1"/>
  <c r="O59" i="3" s="1"/>
  <c r="O13" i="3"/>
  <c r="O61" i="3"/>
  <c r="AB28" i="3"/>
  <c r="AB29" i="3"/>
  <c r="Y38" i="3"/>
  <c r="Y14" i="3"/>
  <c r="Y20" i="3"/>
  <c r="F14" i="3"/>
  <c r="F20" i="3"/>
  <c r="V39" i="3"/>
  <c r="Z16" i="3"/>
  <c r="Z17" i="3" s="1"/>
  <c r="Z18" i="3" s="1"/>
  <c r="Z59" i="3" s="1"/>
  <c r="Z13" i="3"/>
  <c r="Z15" i="3"/>
  <c r="Z61" i="3"/>
  <c r="M39" i="3"/>
  <c r="Y29" i="3"/>
  <c r="Y28" i="3"/>
  <c r="I16" i="3"/>
  <c r="I17" i="3" s="1"/>
  <c r="I18" i="3" s="1"/>
  <c r="I59" i="3" s="1"/>
  <c r="I15" i="3"/>
  <c r="I13" i="3"/>
  <c r="I61" i="3"/>
  <c r="T20" i="3"/>
  <c r="N15" i="3"/>
  <c r="N16" i="3"/>
  <c r="N17" i="3" s="1"/>
  <c r="N18" i="3" s="1"/>
  <c r="N59" i="3" s="1"/>
  <c r="N13" i="3"/>
  <c r="AC16" i="3"/>
  <c r="AC17" i="3" s="1"/>
  <c r="AC18" i="3" s="1"/>
  <c r="AC59" i="3" s="1"/>
  <c r="AC15" i="3"/>
  <c r="AC13" i="3"/>
  <c r="AC61" i="3"/>
  <c r="L16" i="3"/>
  <c r="L17" i="3" s="1"/>
  <c r="L18" i="3" s="1"/>
  <c r="L59" i="3" s="1"/>
  <c r="L15" i="3"/>
  <c r="L13" i="3"/>
  <c r="L61" i="3"/>
  <c r="J16" i="3"/>
  <c r="J17" i="3" s="1"/>
  <c r="J18" i="3" s="1"/>
  <c r="J59" i="3" s="1"/>
  <c r="J15" i="3"/>
  <c r="J13" i="3"/>
  <c r="V13" i="3"/>
  <c r="V15" i="3"/>
  <c r="V16" i="3"/>
  <c r="V17" i="3" s="1"/>
  <c r="V18" i="3" s="1"/>
  <c r="V59" i="3" s="1"/>
  <c r="V61" i="3"/>
  <c r="N61" i="3"/>
  <c r="Q39" i="3"/>
  <c r="K16" i="3"/>
  <c r="K17" i="3" s="1"/>
  <c r="K18" i="3" s="1"/>
  <c r="K59" i="3" s="1"/>
  <c r="K15" i="3"/>
  <c r="K13" i="3"/>
  <c r="S39" i="3"/>
  <c r="M15" i="3"/>
  <c r="M16" i="3"/>
  <c r="M17" i="3" s="1"/>
  <c r="M18" i="3" s="1"/>
  <c r="M59" i="3" s="1"/>
  <c r="M13" i="3"/>
  <c r="M61" i="3"/>
  <c r="U38" i="3"/>
  <c r="U14" i="3"/>
  <c r="U20" i="3"/>
  <c r="T39" i="3"/>
  <c r="P15" i="3"/>
  <c r="P13" i="3"/>
  <c r="P16" i="3"/>
  <c r="P17" i="3" s="1"/>
  <c r="P18" i="3" s="1"/>
  <c r="P59" i="3" s="1"/>
  <c r="P61" i="3"/>
  <c r="H61" i="3"/>
  <c r="AB20" i="3"/>
  <c r="AB38" i="3"/>
  <c r="AB14" i="3"/>
  <c r="J61" i="3"/>
  <c r="N39" i="3"/>
  <c r="Q13" i="3"/>
  <c r="Q15" i="3"/>
  <c r="Q61" i="3"/>
  <c r="Q16" i="3"/>
  <c r="Q17" i="3" s="1"/>
  <c r="Q18" i="3" s="1"/>
  <c r="Q59" i="3" s="1"/>
  <c r="S13" i="3"/>
  <c r="S15" i="3"/>
  <c r="S16" i="3"/>
  <c r="S17" i="3" s="1"/>
  <c r="S18" i="3" s="1"/>
  <c r="S59" i="3" s="1"/>
  <c r="S61" i="3"/>
  <c r="W13" i="3"/>
  <c r="W16" i="3"/>
  <c r="W17" i="3" s="1"/>
  <c r="W18" i="3" s="1"/>
  <c r="W59" i="3" s="1"/>
  <c r="W15" i="3"/>
  <c r="W61" i="3"/>
  <c r="G15" i="3" l="1"/>
  <c r="G29" i="3" s="1"/>
  <c r="G61" i="3"/>
  <c r="G13" i="3"/>
  <c r="G20" i="3" s="1"/>
  <c r="Y30" i="3"/>
  <c r="Y32" i="3" s="1"/>
  <c r="Y34" i="3" s="1"/>
  <c r="Y35" i="3" s="1"/>
  <c r="Y36" i="3" s="1"/>
  <c r="R44" i="3"/>
  <c r="R45" i="3" s="1"/>
  <c r="U30" i="3"/>
  <c r="U32" i="3" s="1"/>
  <c r="U34" i="3" s="1"/>
  <c r="V28" i="3"/>
  <c r="V29" i="3"/>
  <c r="V38" i="3"/>
  <c r="V20" i="3"/>
  <c r="V14" i="3"/>
  <c r="I29" i="3"/>
  <c r="I28" i="3"/>
  <c r="F41" i="3"/>
  <c r="F25" i="3"/>
  <c r="F26" i="3" s="1"/>
  <c r="X30" i="3"/>
  <c r="X32" i="3" s="1"/>
  <c r="X34" i="3" s="1"/>
  <c r="G33" i="5"/>
  <c r="F29" i="1" s="1"/>
  <c r="F26" i="1"/>
  <c r="AB30" i="3"/>
  <c r="AB32" i="3" s="1"/>
  <c r="AB34" i="3" s="1"/>
  <c r="H29" i="3"/>
  <c r="H28" i="3"/>
  <c r="J28" i="3"/>
  <c r="J29" i="3"/>
  <c r="P20" i="3"/>
  <c r="P14" i="3"/>
  <c r="G9" i="1" s="1"/>
  <c r="G8" i="1"/>
  <c r="P38" i="3"/>
  <c r="AB41" i="3"/>
  <c r="Q14" i="3"/>
  <c r="H9" i="1" s="1"/>
  <c r="H8" i="1"/>
  <c r="Q38" i="3"/>
  <c r="Q20" i="3"/>
  <c r="P29" i="3"/>
  <c r="P28" i="3"/>
  <c r="O20" i="3"/>
  <c r="F8" i="1"/>
  <c r="O14" i="3"/>
  <c r="F9" i="1" s="1"/>
  <c r="O38" i="3"/>
  <c r="T35" i="3"/>
  <c r="T36" i="3" s="1"/>
  <c r="I8" i="1"/>
  <c r="AC20" i="3"/>
  <c r="AC38" i="3"/>
  <c r="AC14" i="3"/>
  <c r="I9" i="1" s="1"/>
  <c r="M20" i="3"/>
  <c r="M14" i="3"/>
  <c r="M38" i="3"/>
  <c r="K29" i="3"/>
  <c r="K28" i="3"/>
  <c r="AC29" i="3"/>
  <c r="AC28" i="3"/>
  <c r="O29" i="3"/>
  <c r="O28" i="3"/>
  <c r="Z14" i="3"/>
  <c r="Z38" i="3"/>
  <c r="Z20" i="3"/>
  <c r="T41" i="3"/>
  <c r="M29" i="3"/>
  <c r="M28" i="3"/>
  <c r="Q29" i="3"/>
  <c r="Q28" i="3"/>
  <c r="H20" i="3"/>
  <c r="H38" i="3"/>
  <c r="H14" i="3"/>
  <c r="S29" i="3"/>
  <c r="S28" i="3"/>
  <c r="AA38" i="3"/>
  <c r="AA20" i="3"/>
  <c r="AA14" i="3"/>
  <c r="L29" i="3"/>
  <c r="L28" i="3"/>
  <c r="I20" i="3"/>
  <c r="I38" i="3"/>
  <c r="I14" i="3"/>
  <c r="F35" i="3"/>
  <c r="F36" i="3" s="1"/>
  <c r="S14" i="3"/>
  <c r="S38" i="3"/>
  <c r="S20" i="3"/>
  <c r="AA29" i="3"/>
  <c r="AA28" i="3"/>
  <c r="L20" i="3"/>
  <c r="L14" i="3"/>
  <c r="L38" i="3"/>
  <c r="J20" i="3"/>
  <c r="J38" i="3"/>
  <c r="J14" i="3"/>
  <c r="Y41" i="3"/>
  <c r="K20" i="3"/>
  <c r="K38" i="3"/>
  <c r="K14" i="3"/>
  <c r="W28" i="3"/>
  <c r="W29" i="3"/>
  <c r="U41" i="3"/>
  <c r="N20" i="3"/>
  <c r="N14" i="3"/>
  <c r="N38" i="3"/>
  <c r="W38" i="3"/>
  <c r="W14" i="3"/>
  <c r="W20" i="3"/>
  <c r="X41" i="3"/>
  <c r="N29" i="3"/>
  <c r="N28" i="3"/>
  <c r="Z29" i="3"/>
  <c r="Z28" i="3"/>
  <c r="G14" i="3" l="1"/>
  <c r="Y44" i="3"/>
  <c r="Y45" i="3" s="1"/>
  <c r="G28" i="3"/>
  <c r="G30" i="3" s="1"/>
  <c r="G32" i="3" s="1"/>
  <c r="G34" i="3" s="1"/>
  <c r="G38" i="3"/>
  <c r="F44" i="3"/>
  <c r="F45" i="3" s="1"/>
  <c r="F46" i="3" s="1"/>
  <c r="U35" i="3"/>
  <c r="U36" i="3" s="1"/>
  <c r="U44" i="3" s="1"/>
  <c r="U45" i="3" s="1"/>
  <c r="AC30" i="3"/>
  <c r="AC32" i="3" s="1"/>
  <c r="AC34" i="3" s="1"/>
  <c r="AC35" i="3" s="1"/>
  <c r="AC36" i="3" s="1"/>
  <c r="T44" i="3"/>
  <c r="T45" i="3" s="1"/>
  <c r="H30" i="3"/>
  <c r="H32" i="3" s="1"/>
  <c r="H34" i="3" s="1"/>
  <c r="H35" i="3" s="1"/>
  <c r="H36" i="3" s="1"/>
  <c r="P30" i="3"/>
  <c r="P32" i="3" s="1"/>
  <c r="P34" i="3" s="1"/>
  <c r="P35" i="3" s="1"/>
  <c r="P36" i="3" s="1"/>
  <c r="L30" i="3"/>
  <c r="L32" i="3" s="1"/>
  <c r="L34" i="3" s="1"/>
  <c r="L35" i="3" s="1"/>
  <c r="L36" i="3" s="1"/>
  <c r="I30" i="3"/>
  <c r="I32" i="3" s="1"/>
  <c r="I34" i="3" s="1"/>
  <c r="I35" i="3" s="1"/>
  <c r="I36" i="3" s="1"/>
  <c r="O30" i="3"/>
  <c r="O32" i="3" s="1"/>
  <c r="O34" i="3" s="1"/>
  <c r="O35" i="3" s="1"/>
  <c r="O36" i="3" s="1"/>
  <c r="N30" i="3"/>
  <c r="N32" i="3" s="1"/>
  <c r="N34" i="3" s="1"/>
  <c r="N35" i="3" s="1"/>
  <c r="N36" i="3" s="1"/>
  <c r="W30" i="3"/>
  <c r="W32" i="3" s="1"/>
  <c r="W34" i="3" s="1"/>
  <c r="AA30" i="3"/>
  <c r="AA32" i="3" s="1"/>
  <c r="AA34" i="3" s="1"/>
  <c r="AA35" i="3" s="1"/>
  <c r="AA36" i="3" s="1"/>
  <c r="M30" i="3"/>
  <c r="M32" i="3" s="1"/>
  <c r="M34" i="3" s="1"/>
  <c r="M35" i="3" s="1"/>
  <c r="M36" i="3" s="1"/>
  <c r="F27" i="3"/>
  <c r="G23" i="3" s="1"/>
  <c r="J41" i="3"/>
  <c r="S30" i="3"/>
  <c r="S32" i="3" s="1"/>
  <c r="S34" i="3" s="1"/>
  <c r="K30" i="3"/>
  <c r="K32" i="3" s="1"/>
  <c r="K34" i="3" s="1"/>
  <c r="Q41" i="3"/>
  <c r="H10" i="1"/>
  <c r="F10" i="1"/>
  <c r="O41" i="3"/>
  <c r="AA41" i="3"/>
  <c r="S41" i="3"/>
  <c r="Q30" i="3"/>
  <c r="Q32" i="3" s="1"/>
  <c r="Q34" i="3" s="1"/>
  <c r="G41" i="3"/>
  <c r="M41" i="3"/>
  <c r="L41" i="3"/>
  <c r="H41" i="3"/>
  <c r="N41" i="3"/>
  <c r="AC41" i="3"/>
  <c r="I10" i="1"/>
  <c r="P41" i="3"/>
  <c r="G10" i="1"/>
  <c r="V41" i="3"/>
  <c r="J30" i="3"/>
  <c r="J32" i="3" s="1"/>
  <c r="J34" i="3" s="1"/>
  <c r="Z41" i="3"/>
  <c r="AB35" i="3"/>
  <c r="AB36" i="3" s="1"/>
  <c r="AB44" i="3" s="1"/>
  <c r="AB45" i="3" s="1"/>
  <c r="W41" i="3"/>
  <c r="X35" i="3"/>
  <c r="X36" i="3" s="1"/>
  <c r="X44" i="3" s="1"/>
  <c r="X45" i="3" s="1"/>
  <c r="Z30" i="3"/>
  <c r="Z32" i="3" s="1"/>
  <c r="Z34" i="3" s="1"/>
  <c r="I41" i="3"/>
  <c r="K41" i="3"/>
  <c r="V30" i="3"/>
  <c r="V32" i="3" s="1"/>
  <c r="V34" i="3" s="1"/>
  <c r="F55" i="3" l="1"/>
  <c r="F57" i="3" s="1"/>
  <c r="I44" i="3"/>
  <c r="I45" i="3" s="1"/>
  <c r="L44" i="3"/>
  <c r="L45" i="3" s="1"/>
  <c r="W35" i="3"/>
  <c r="W36" i="3" s="1"/>
  <c r="W44" i="3" s="1"/>
  <c r="W45" i="3" s="1"/>
  <c r="AA44" i="3"/>
  <c r="AA45" i="3" s="1"/>
  <c r="H44" i="3"/>
  <c r="H45" i="3" s="1"/>
  <c r="N44" i="3"/>
  <c r="N45" i="3" s="1"/>
  <c r="I12" i="1"/>
  <c r="AC44" i="3"/>
  <c r="AC45" i="3" s="1"/>
  <c r="Z35" i="3"/>
  <c r="Z36" i="3" s="1"/>
  <c r="Z44" i="3" s="1"/>
  <c r="Z45" i="3" s="1"/>
  <c r="Q35" i="3"/>
  <c r="Q36" i="3" s="1"/>
  <c r="O44" i="3"/>
  <c r="O45" i="3" s="1"/>
  <c r="F12" i="1"/>
  <c r="P44" i="3"/>
  <c r="P45" i="3" s="1"/>
  <c r="G12" i="1"/>
  <c r="S35" i="3"/>
  <c r="S36" i="3" s="1"/>
  <c r="S44" i="3" s="1"/>
  <c r="S45" i="3" s="1"/>
  <c r="V35" i="3"/>
  <c r="V36" i="3" s="1"/>
  <c r="V44" i="3" s="1"/>
  <c r="V45" i="3" s="1"/>
  <c r="G35" i="3"/>
  <c r="G36" i="3" s="1"/>
  <c r="G44" i="3" s="1"/>
  <c r="G45" i="3" s="1"/>
  <c r="M44" i="3"/>
  <c r="M45" i="3" s="1"/>
  <c r="K35" i="3"/>
  <c r="K36" i="3" s="1"/>
  <c r="K44" i="3" s="1"/>
  <c r="K45" i="3" s="1"/>
  <c r="J35" i="3"/>
  <c r="J36" i="3" s="1"/>
  <c r="J44" i="3" s="1"/>
  <c r="J45" i="3" s="1"/>
  <c r="G24" i="3"/>
  <c r="G25" i="3" s="1"/>
  <c r="G26" i="3" s="1"/>
  <c r="F47" i="3"/>
  <c r="F49" i="3" s="1"/>
  <c r="F56" i="3" l="1"/>
  <c r="F62" i="3"/>
  <c r="F50" i="3"/>
  <c r="F58" i="3"/>
  <c r="F53" i="3"/>
  <c r="G46" i="3"/>
  <c r="G55" i="3"/>
  <c r="Q44" i="3"/>
  <c r="Q45" i="3" s="1"/>
  <c r="H12" i="1"/>
  <c r="G27" i="3"/>
  <c r="H23" i="3" s="1"/>
  <c r="H24" i="3" l="1"/>
  <c r="H25" i="3" s="1"/>
  <c r="H26" i="3" s="1"/>
  <c r="H27" i="3" s="1"/>
  <c r="I23" i="3" s="1"/>
  <c r="G57" i="3"/>
  <c r="G56" i="3"/>
  <c r="G47" i="3"/>
  <c r="G49" i="3" s="1"/>
  <c r="F51" i="3"/>
  <c r="F54" i="3"/>
  <c r="F63" i="3" s="1"/>
  <c r="G62" i="3" l="1"/>
  <c r="G58" i="3"/>
  <c r="G50" i="3"/>
  <c r="G53" i="3"/>
  <c r="H46" i="3"/>
  <c r="H55" i="3"/>
  <c r="I24" i="3"/>
  <c r="I25" i="3" s="1"/>
  <c r="I26" i="3" s="1"/>
  <c r="I46" i="3" l="1"/>
  <c r="I55" i="3"/>
  <c r="I27" i="3"/>
  <c r="J23" i="3" s="1"/>
  <c r="H57" i="3"/>
  <c r="H56" i="3"/>
  <c r="H47" i="3"/>
  <c r="H49" i="3" s="1"/>
  <c r="H50" i="3" s="1"/>
  <c r="G51" i="3"/>
  <c r="G54" i="3"/>
  <c r="G63" i="3" s="1"/>
  <c r="H53" i="3" l="1"/>
  <c r="H51" i="3"/>
  <c r="H54" i="3"/>
  <c r="H63" i="3" s="1"/>
  <c r="H62" i="3"/>
  <c r="H58" i="3"/>
  <c r="J24" i="3"/>
  <c r="J25" i="3" s="1"/>
  <c r="J26" i="3" s="1"/>
  <c r="J27" i="3" s="1"/>
  <c r="K23" i="3" s="1"/>
  <c r="I56" i="3"/>
  <c r="I57" i="3"/>
  <c r="I47" i="3"/>
  <c r="I49" i="3" s="1"/>
  <c r="I62" i="3" l="1"/>
  <c r="I58" i="3"/>
  <c r="I50" i="3"/>
  <c r="I53" i="3"/>
  <c r="K24" i="3"/>
  <c r="K25" i="3" s="1"/>
  <c r="K26" i="3" s="1"/>
  <c r="J46" i="3"/>
  <c r="J55" i="3"/>
  <c r="J56" i="3" l="1"/>
  <c r="J57" i="3"/>
  <c r="J47" i="3"/>
  <c r="J53" i="3" s="1"/>
  <c r="K46" i="3"/>
  <c r="K55" i="3"/>
  <c r="K27" i="3"/>
  <c r="I51" i="3"/>
  <c r="I54" i="3"/>
  <c r="I63" i="3" s="1"/>
  <c r="L22" i="3" l="1"/>
  <c r="M22" i="3" s="1"/>
  <c r="L23" i="3"/>
  <c r="K56" i="3"/>
  <c r="K57" i="3"/>
  <c r="K47" i="3"/>
  <c r="K49" i="3" s="1"/>
  <c r="J49" i="3"/>
  <c r="L24" i="3" l="1"/>
  <c r="L25" i="3" s="1"/>
  <c r="L26" i="3" s="1"/>
  <c r="L46" i="3" s="1"/>
  <c r="K62" i="3"/>
  <c r="K58" i="3"/>
  <c r="K53" i="3"/>
  <c r="J62" i="3"/>
  <c r="J58" i="3"/>
  <c r="J50" i="3"/>
  <c r="N22" i="3"/>
  <c r="L27" i="3" l="1"/>
  <c r="M23" i="3" s="1"/>
  <c r="M24" i="3" s="1"/>
  <c r="M25" i="3" s="1"/>
  <c r="M26" i="3" s="1"/>
  <c r="L55" i="3"/>
  <c r="L56" i="3" s="1"/>
  <c r="L47" i="3"/>
  <c r="L49" i="3" s="1"/>
  <c r="O22" i="3"/>
  <c r="J51" i="3"/>
  <c r="K50" i="3"/>
  <c r="J54" i="3"/>
  <c r="J63" i="3" s="1"/>
  <c r="L57" i="3" l="1"/>
  <c r="L62" i="3"/>
  <c r="L58" i="3"/>
  <c r="K51" i="3"/>
  <c r="L50" i="3"/>
  <c r="K54" i="3"/>
  <c r="K63" i="3" s="1"/>
  <c r="P22" i="3"/>
  <c r="M55" i="3"/>
  <c r="M46" i="3"/>
  <c r="L53" i="3"/>
  <c r="M27" i="3"/>
  <c r="N23" i="3" s="1"/>
  <c r="N24" i="3" l="1"/>
  <c r="N25" i="3" s="1"/>
  <c r="N26" i="3" s="1"/>
  <c r="M47" i="3"/>
  <c r="M53" i="3" s="1"/>
  <c r="M57" i="3"/>
  <c r="M56" i="3"/>
  <c r="L51" i="3"/>
  <c r="L54" i="3"/>
  <c r="L63" i="3" s="1"/>
  <c r="M49" i="3" l="1"/>
  <c r="N55" i="3"/>
  <c r="N46" i="3"/>
  <c r="N27" i="3"/>
  <c r="O23" i="3" s="1"/>
  <c r="O24" i="3" l="1"/>
  <c r="O25" i="3" s="1"/>
  <c r="O26" i="3" s="1"/>
  <c r="N47" i="3"/>
  <c r="N49" i="3" s="1"/>
  <c r="N57" i="3"/>
  <c r="N56" i="3"/>
  <c r="M62" i="3"/>
  <c r="M58" i="3"/>
  <c r="M50" i="3"/>
  <c r="N62" i="3" l="1"/>
  <c r="N58" i="3"/>
  <c r="N50" i="3"/>
  <c r="M51" i="3"/>
  <c r="M54" i="3"/>
  <c r="M63" i="3" s="1"/>
  <c r="N53" i="3"/>
  <c r="O55" i="3"/>
  <c r="F11" i="1"/>
  <c r="O46" i="3"/>
  <c r="O27" i="3"/>
  <c r="P23" i="3" s="1"/>
  <c r="P24" i="3" l="1"/>
  <c r="P25" i="3" s="1"/>
  <c r="P26" i="3" s="1"/>
  <c r="F14" i="1"/>
  <c r="O47" i="3"/>
  <c r="F15" i="1" s="1"/>
  <c r="O57" i="3"/>
  <c r="F18" i="1" s="1"/>
  <c r="O56" i="3"/>
  <c r="N51" i="3"/>
  <c r="N54" i="3"/>
  <c r="N63" i="3" s="1"/>
  <c r="O53" i="3" l="1"/>
  <c r="F17" i="1"/>
  <c r="O49" i="3"/>
  <c r="P55" i="3"/>
  <c r="P46" i="3"/>
  <c r="G11" i="1"/>
  <c r="P27" i="3"/>
  <c r="Q23" i="3" l="1"/>
  <c r="Q22" i="3"/>
  <c r="R22" i="3" s="1"/>
  <c r="S22" i="3" s="1"/>
  <c r="T22" i="3" s="1"/>
  <c r="U22" i="3" s="1"/>
  <c r="V22" i="3" s="1"/>
  <c r="W22" i="3" s="1"/>
  <c r="G14" i="1"/>
  <c r="P47" i="3"/>
  <c r="G15" i="1" s="1"/>
  <c r="P56" i="3"/>
  <c r="P57" i="3"/>
  <c r="G18" i="1" s="1"/>
  <c r="F16" i="1"/>
  <c r="O58" i="3"/>
  <c r="O62" i="3"/>
  <c r="O50" i="3"/>
  <c r="Q24" i="3" l="1"/>
  <c r="Q25" i="3" s="1"/>
  <c r="Q26" i="3" s="1"/>
  <c r="Q46" i="3" s="1"/>
  <c r="P49" i="3"/>
  <c r="P50" i="3" s="1"/>
  <c r="O51" i="3"/>
  <c r="O54" i="3"/>
  <c r="O63" i="3" s="1"/>
  <c r="G17" i="1"/>
  <c r="P53" i="3"/>
  <c r="H11" i="1" l="1"/>
  <c r="Q55" i="3"/>
  <c r="Q56" i="3" s="1"/>
  <c r="Q27" i="3"/>
  <c r="R23" i="3" s="1"/>
  <c r="R24" i="3" s="1"/>
  <c r="R25" i="3" s="1"/>
  <c r="R26" i="3" s="1"/>
  <c r="P62" i="3"/>
  <c r="P58" i="3"/>
  <c r="G16" i="1"/>
  <c r="H14" i="1"/>
  <c r="Q47" i="3"/>
  <c r="H15" i="1" s="1"/>
  <c r="P51" i="3"/>
  <c r="P54" i="3"/>
  <c r="P63" i="3" s="1"/>
  <c r="Q57" i="3" l="1"/>
  <c r="H18" i="1" s="1"/>
  <c r="H17" i="1"/>
  <c r="F21" i="1"/>
  <c r="R46" i="3"/>
  <c r="R55" i="3"/>
  <c r="Q53" i="3"/>
  <c r="Q49" i="3"/>
  <c r="R27" i="3"/>
  <c r="S23" i="3" s="1"/>
  <c r="S24" i="3" l="1"/>
  <c r="S25" i="3" s="1"/>
  <c r="S26" i="3" s="1"/>
  <c r="Q58" i="3"/>
  <c r="Q62" i="3"/>
  <c r="H16" i="1"/>
  <c r="F22" i="1"/>
  <c r="Q50" i="3"/>
  <c r="R56" i="3"/>
  <c r="R57" i="3"/>
  <c r="R47" i="3"/>
  <c r="R49" i="3" s="1"/>
  <c r="R58" i="3" l="1"/>
  <c r="R62" i="3"/>
  <c r="R53" i="3"/>
  <c r="Q51" i="3"/>
  <c r="R50" i="3"/>
  <c r="Q54" i="3"/>
  <c r="Q63" i="3" s="1"/>
  <c r="S55" i="3"/>
  <c r="S46" i="3"/>
  <c r="S27" i="3"/>
  <c r="T23" i="3" s="1"/>
  <c r="S47" i="3" l="1"/>
  <c r="S49" i="3" s="1"/>
  <c r="S56" i="3"/>
  <c r="S57" i="3"/>
  <c r="T24" i="3"/>
  <c r="T25" i="3" s="1"/>
  <c r="T26" i="3" s="1"/>
  <c r="R51" i="3"/>
  <c r="R54" i="3"/>
  <c r="R63" i="3" s="1"/>
  <c r="S58" i="3" l="1"/>
  <c r="S62" i="3"/>
  <c r="S50" i="3"/>
  <c r="T46" i="3"/>
  <c r="T55" i="3"/>
  <c r="T27" i="3"/>
  <c r="U23" i="3" s="1"/>
  <c r="S53" i="3"/>
  <c r="U24" i="3" l="1"/>
  <c r="U25" i="3" s="1"/>
  <c r="U26" i="3" s="1"/>
  <c r="T57" i="3"/>
  <c r="T56" i="3"/>
  <c r="T47" i="3"/>
  <c r="T53" i="3" s="1"/>
  <c r="S51" i="3"/>
  <c r="S54" i="3"/>
  <c r="S63" i="3" s="1"/>
  <c r="T49" i="3" l="1"/>
  <c r="U55" i="3"/>
  <c r="U46" i="3"/>
  <c r="U27" i="3"/>
  <c r="V23" i="3" s="1"/>
  <c r="V24" i="3" l="1"/>
  <c r="V25" i="3" s="1"/>
  <c r="V26" i="3" s="1"/>
  <c r="U47" i="3"/>
  <c r="U53" i="3" s="1"/>
  <c r="U57" i="3"/>
  <c r="U56" i="3"/>
  <c r="T58" i="3"/>
  <c r="T62" i="3"/>
  <c r="T50" i="3"/>
  <c r="U49" i="3" l="1"/>
  <c r="U50" i="3" s="1"/>
  <c r="T51" i="3"/>
  <c r="T54" i="3"/>
  <c r="T63" i="3" s="1"/>
  <c r="V55" i="3"/>
  <c r="V46" i="3"/>
  <c r="V27" i="3"/>
  <c r="W23" i="3" s="1"/>
  <c r="U62" i="3" l="1"/>
  <c r="U58" i="3"/>
  <c r="W24" i="3"/>
  <c r="W25" i="3" s="1"/>
  <c r="W26" i="3" s="1"/>
  <c r="V47" i="3"/>
  <c r="V53" i="3" s="1"/>
  <c r="V57" i="3"/>
  <c r="V56" i="3"/>
  <c r="U51" i="3"/>
  <c r="U54" i="3"/>
  <c r="U63" i="3" s="1"/>
  <c r="V49" i="3" l="1"/>
  <c r="V50" i="3" s="1"/>
  <c r="V51" i="3" s="1"/>
  <c r="W55" i="3"/>
  <c r="W46" i="3"/>
  <c r="W27" i="3"/>
  <c r="X22" i="3" l="1"/>
  <c r="Y22" i="3" s="1"/>
  <c r="X23" i="3"/>
  <c r="V62" i="3"/>
  <c r="V58" i="3"/>
  <c r="V54" i="3"/>
  <c r="V63" i="3" s="1"/>
  <c r="W47" i="3"/>
  <c r="W53" i="3" s="1"/>
  <c r="W57" i="3"/>
  <c r="W56" i="3"/>
  <c r="X24" i="3" l="1"/>
  <c r="X25" i="3" s="1"/>
  <c r="X26" i="3" s="1"/>
  <c r="X46" i="3" s="1"/>
  <c r="W49" i="3"/>
  <c r="W58" i="3" s="1"/>
  <c r="Z22" i="3"/>
  <c r="X27" i="3" l="1"/>
  <c r="Y23" i="3" s="1"/>
  <c r="Y24" i="3" s="1"/>
  <c r="Y25" i="3" s="1"/>
  <c r="Y26" i="3" s="1"/>
  <c r="X55" i="3"/>
  <c r="X57" i="3" s="1"/>
  <c r="W50" i="3"/>
  <c r="W51" i="3" s="1"/>
  <c r="W62" i="3"/>
  <c r="AA22" i="3"/>
  <c r="X47" i="3"/>
  <c r="X53" i="3" s="1"/>
  <c r="X56" i="3" l="1"/>
  <c r="W54" i="3"/>
  <c r="W63" i="3" s="1"/>
  <c r="X49" i="3"/>
  <c r="X62" i="3" s="1"/>
  <c r="Y46" i="3"/>
  <c r="Y55" i="3"/>
  <c r="Y27" i="3"/>
  <c r="Z23" i="3" s="1"/>
  <c r="AB22" i="3"/>
  <c r="X50" i="3" l="1"/>
  <c r="X51" i="3" s="1"/>
  <c r="X58" i="3"/>
  <c r="Z24" i="3"/>
  <c r="Z25" i="3" s="1"/>
  <c r="Z26" i="3" s="1"/>
  <c r="Y57" i="3"/>
  <c r="Y56" i="3"/>
  <c r="Y47" i="3"/>
  <c r="Y49" i="3" s="1"/>
  <c r="X54" i="3" l="1"/>
  <c r="X63" i="3" s="1"/>
  <c r="Y62" i="3"/>
  <c r="Y58" i="3"/>
  <c r="Y50" i="3"/>
  <c r="Y53" i="3"/>
  <c r="Z46" i="3"/>
  <c r="Z55" i="3"/>
  <c r="Z27" i="3"/>
  <c r="AA23" i="3" s="1"/>
  <c r="AA24" i="3" l="1"/>
  <c r="AA25" i="3" s="1"/>
  <c r="AA26" i="3" s="1"/>
  <c r="Z57" i="3"/>
  <c r="Z56" i="3"/>
  <c r="Z47" i="3"/>
  <c r="Z53" i="3" s="1"/>
  <c r="Y51" i="3"/>
  <c r="Y54" i="3"/>
  <c r="Y63" i="3" s="1"/>
  <c r="Z49" i="3" l="1"/>
  <c r="Z50" i="3" s="1"/>
  <c r="Z51" i="3" s="1"/>
  <c r="AA46" i="3"/>
  <c r="AA55" i="3"/>
  <c r="AA27" i="3"/>
  <c r="AB23" i="3" s="1"/>
  <c r="Z62" i="3" l="1"/>
  <c r="Z54" i="3"/>
  <c r="Z63" i="3" s="1"/>
  <c r="Z58" i="3"/>
  <c r="AB24" i="3"/>
  <c r="AB25" i="3" s="1"/>
  <c r="AB26" i="3" s="1"/>
  <c r="AA57" i="3"/>
  <c r="AA56" i="3"/>
  <c r="AA47" i="3"/>
  <c r="AA49" i="3" s="1"/>
  <c r="AA53" i="3" l="1"/>
  <c r="AA62" i="3"/>
  <c r="AA58" i="3"/>
  <c r="AA50" i="3"/>
  <c r="AB46" i="3"/>
  <c r="AB55" i="3"/>
  <c r="AB27" i="3"/>
  <c r="AC23" i="3" l="1"/>
  <c r="AC22" i="3"/>
  <c r="AB57" i="3"/>
  <c r="AB56" i="3"/>
  <c r="AB47" i="3"/>
  <c r="AB49" i="3" s="1"/>
  <c r="AB50" i="3" s="1"/>
  <c r="AA51" i="3"/>
  <c r="AA54" i="3"/>
  <c r="AA63" i="3" s="1"/>
  <c r="AC24" i="3" l="1"/>
  <c r="AC25" i="3" s="1"/>
  <c r="AC26" i="3" s="1"/>
  <c r="AC46" i="3" s="1"/>
  <c r="AB53" i="3"/>
  <c r="AB51" i="3"/>
  <c r="AB54" i="3"/>
  <c r="AB63" i="3" s="1"/>
  <c r="AB62" i="3"/>
  <c r="AB58" i="3"/>
  <c r="AC27" i="3" l="1"/>
  <c r="AC55" i="3"/>
  <c r="AC56" i="3" s="1"/>
  <c r="I17" i="1" s="1"/>
  <c r="I11" i="1"/>
  <c r="AC47" i="3"/>
  <c r="I15" i="1" s="1"/>
  <c r="I14" i="1"/>
  <c r="AC57" i="3" l="1"/>
  <c r="I18" i="1" s="1"/>
  <c r="AC49" i="3"/>
  <c r="AC53" i="3"/>
  <c r="AC62" i="3" l="1"/>
  <c r="F23" i="1" s="1"/>
  <c r="AC58" i="3"/>
  <c r="I16" i="1"/>
  <c r="AC50" i="3"/>
  <c r="AC51" i="3" l="1"/>
  <c r="AC54" i="3"/>
  <c r="F25" i="1"/>
  <c r="F33" i="1" s="1"/>
  <c r="F24" i="1"/>
  <c r="F30" i="1" s="1"/>
  <c r="AC63" i="3" l="1"/>
  <c r="F32" i="1" s="1"/>
  <c r="F31" i="1"/>
</calcChain>
</file>

<file path=xl/sharedStrings.xml><?xml version="1.0" encoding="utf-8"?>
<sst xmlns="http://schemas.openxmlformats.org/spreadsheetml/2006/main" count="309" uniqueCount="260">
  <si>
    <t>Малаховка: аренда 700 ₽/м²</t>
  </si>
  <si>
    <t>Сценарий</t>
  </si>
  <si>
    <t>Показатель, ₽ если не указано</t>
  </si>
  <si>
    <t>Среднее число жителей</t>
  </si>
  <si>
    <t>Загрузка</t>
  </si>
  <si>
    <t>Платежи клиентов с НДС</t>
  </si>
  <si>
    <t>Выручка без НДС</t>
  </si>
  <si>
    <t>ФОТ с начислениями</t>
  </si>
  <si>
    <t>Аренда</t>
  </si>
  <si>
    <t>EBITDA</t>
  </si>
  <si>
    <t>Резерв УСН</t>
  </si>
  <si>
    <t>Денежный результат</t>
  </si>
  <si>
    <t>Математический предел аренды</t>
  </si>
  <si>
    <t>Аренда с целевым денежным запасом</t>
  </si>
  <si>
    <t>Минимальный предел аренды М10–12</t>
  </si>
  <si>
    <t>Минимальный денежный результат М10–12</t>
  </si>
  <si>
    <t>Первый месяц положительного потока</t>
  </si>
  <si>
    <t>Пиковый операционный дефицит</t>
  </si>
  <si>
    <t>Минимум свободных денег</t>
  </si>
  <si>
    <t>Учтённые вложения без ремонта</t>
  </si>
  <si>
    <t>В том числе депозит и запас</t>
  </si>
  <si>
    <t>Ликвидность при открытии</t>
  </si>
  <si>
    <t>Средства без ремонта с ликвидностью</t>
  </si>
  <si>
    <t>Минимум средств без ремонта и запаса</t>
  </si>
  <si>
    <t>Накопленный поток учтённой части М24</t>
  </si>
  <si>
    <t>Возврат учтённых вложений (без ремонта)</t>
  </si>
  <si>
    <t>Нехватка заданного резерва денег</t>
  </si>
  <si>
    <t>Цель: месячный плюс к М10. Ремонт / реконструкция — отдельная смета.</t>
  </si>
  <si>
    <t>60 мест и дата открытия — технические допущения. Право на запуск не подтверждено.</t>
  </si>
  <si>
    <t>Аренда полная с М1; 700 ₽/м² включает все налоги арендодателя.</t>
  </si>
  <si>
    <t>НДС 5% включен в цену после потери освобождения. УСН — консервативный резерв.</t>
  </si>
  <si>
    <t>План предполагает оплату месяца проживания в том же месяце без дебиторской задержки.</t>
  </si>
  <si>
    <t>Амортизация не списывает деньги; заемный платеж не уменьшает EBITDA.</t>
  </si>
  <si>
    <t>Допуск здания, спрос, кадровые графики и налоговые льготы проверяются до договора.</t>
  </si>
  <si>
    <t>До открытия: справочные платежи, не включены в бюджет</t>
  </si>
  <si>
    <t>Аренда за 3 месяца до открытия</t>
  </si>
  <si>
    <t>Аренда за 6 месяцев до открытия</t>
  </si>
  <si>
    <t>Начало аренды до открытия и срок подготовки пока неизвестны.</t>
  </si>
  <si>
    <t>Эти суммы добавляются к финансированию, если предусмотрены договором.</t>
  </si>
  <si>
    <t>Для проверки тарифа изменяйте цену базового случая на вкладке «Параметры».</t>
  </si>
  <si>
    <t>Параметры модели</t>
  </si>
  <si>
    <t>Единый переключатель</t>
  </si>
  <si>
    <t>1 — база; 2 — неблагоприятный; 3 — благоприятный</t>
  </si>
  <si>
    <t>Мест: расчетная гипотеза</t>
  </si>
  <si>
    <t>Вместимость не разрешена; требуется проект и обследование.</t>
  </si>
  <si>
    <t>Базовый</t>
  </si>
  <si>
    <t>Неблагоприятный</t>
  </si>
  <si>
    <t>Благоприятный</t>
  </si>
  <si>
    <t>Средняя цена, ₽/сутки, с НДС</t>
  </si>
  <si>
    <t>Допущение. Цена реализованная после скидок.</t>
  </si>
  <si>
    <t>Жителей при открытии</t>
  </si>
  <si>
    <t>Допущение; не подтвержденные бронирования.</t>
  </si>
  <si>
    <t>Множитель зарплат</t>
  </si>
  <si>
    <t>Неблагоприятный сценарий: +10%.</t>
  </si>
  <si>
    <t>Множитель переменных расходов</t>
  </si>
  <si>
    <t>Неблагоприятный сценарий: +15%.</t>
  </si>
  <si>
    <t>Техническая дата открытия</t>
  </si>
  <si>
    <t>Не обещание запуска. Введите первое число месяца.</t>
  </si>
  <si>
    <t>Полная аренда, ₽/мес</t>
  </si>
  <si>
    <t>Общая площадь × ставка. Включая все налоги арендодателя.</t>
  </si>
  <si>
    <t>Ставка ухода, gross, ₽/FTE</t>
  </si>
  <si>
    <t>Допущение; HH в Малаховке: от 70 400 ₽ gross.</t>
  </si>
  <si>
    <t>Расчетная норма часов/FTE</t>
  </si>
  <si>
    <t>График проверяется по ТК и фактическому календарю.</t>
  </si>
  <si>
    <t>Резерв замещения персонала</t>
  </si>
  <si>
    <t>Отпуска, болезни и обучение; допущение.</t>
  </si>
  <si>
    <t>Начисления на зарплату</t>
  </si>
  <si>
    <t>30% + условные 0,2% травматизма; без льготы МСП.</t>
  </si>
  <si>
    <t>Переменные, ₽/житель-день</t>
  </si>
  <si>
    <t>Продукты 380 + стирка 60 + гигиена 90; допущение.</t>
  </si>
  <si>
    <t>Питание работников, ₽/день</t>
  </si>
  <si>
    <t>Отдельный бюджет даже при малой загрузке.</t>
  </si>
  <si>
    <t>Прочие постоянные, ₽/мес</t>
  </si>
  <si>
    <t>150 ресурсы; 180 реклама; 100 медпартнер; 35 учет/IT; 30 отходы; 40 сервис/обслуживание; 15 страхование (тыс. ₽).</t>
  </si>
  <si>
    <t>Эквайринг от платежей</t>
  </si>
  <si>
    <t>Допущение.</t>
  </si>
  <si>
    <t>Индексация зарплат с М13</t>
  </si>
  <si>
    <t>Допущение; применяется ко всем gross-ставкам.</t>
  </si>
  <si>
    <t>Индексация цены с М13</t>
  </si>
  <si>
    <t>Индексация прочих затрат с М13</t>
  </si>
  <si>
    <t>Переменные, питание работников, постоянные; допущение.</t>
  </si>
  <si>
    <t>Индексация аренды с М13</t>
  </si>
  <si>
    <t>Гипотеза переговоров.</t>
  </si>
  <si>
    <t>Ежемесячный отток</t>
  </si>
  <si>
    <t>Гипотеза для расчета необходимых заселений.</t>
  </si>
  <si>
    <t>Порог освобождения НДС, ₽</t>
  </si>
  <si>
    <t>Календарный год. Налоговую модель перепроверить к запуску.</t>
  </si>
  <si>
    <t>Ставка НДС внутри цены</t>
  </si>
  <si>
    <t>Без вычета входного НДС.</t>
  </si>
  <si>
    <t>Подтверждено освобождение ст.149</t>
  </si>
  <si>
    <t>0 — нет; 1 — только после документальной проверки.</t>
  </si>
  <si>
    <t>УСН доходы минус расходы</t>
  </si>
  <si>
    <t>Расчетный резерв без вычета процентов и стартовых расходов.</t>
  </si>
  <si>
    <t>Минимальный налог УСН</t>
  </si>
  <si>
    <t>Годовой минимум; месячный резерв — упрощение, не график платежей.</t>
  </si>
  <si>
    <t>Доход оператора прошлого года</t>
  </si>
  <si>
    <t>Доход для УСН без НДС; до начала модельного периода.</t>
  </si>
  <si>
    <t>Доход текущего года до открытия</t>
  </si>
  <si>
    <t>Для порога НДС; без НДС, уже полученный до первого месяца.</t>
  </si>
  <si>
    <t>Другие доходы оператора/мес</t>
  </si>
  <si>
    <t>Только проверка порога НДС. Не выручка/денежный поток пансионата.</t>
  </si>
  <si>
    <t>Резерв ликвидности при открытии</t>
  </si>
  <si>
    <t>Деньги на счету, не первоначальный расход.</t>
  </si>
  <si>
    <t>Общая арендуемая площадь, м²</t>
  </si>
  <si>
    <t>Проектная общая площадь АР. Проверить по договору, не полезная площадь.</t>
  </si>
  <si>
    <t>Полная ставка аренды, ₽/м²</t>
  </si>
  <si>
    <t>Вход заказчика: полный платёж, НДС сверху не добавляется.</t>
  </si>
  <si>
    <t>Целевой месячный денежный запас</t>
  </si>
  <si>
    <t>Для второго предела аренды.</t>
  </si>
  <si>
    <t>Обслуживание долга по умолчанию</t>
  </si>
  <si>
    <t>Тело и проценты в денежном потоке; редактируемые месяцы ниже.</t>
  </si>
  <si>
    <t>Доп. медсестра, затраты/мес</t>
  </si>
  <si>
    <t>Для проверки: 700 000 ₽/мес с начислениями.</t>
  </si>
  <si>
    <t>Гипотеза каникул включена</t>
  </si>
  <si>
    <t>База 0: полная с М1. 1: 0% М1–3, 50% М4–6; НЕ согласовано.</t>
  </si>
  <si>
    <t>Минимум постов день/ночь</t>
  </si>
  <si>
    <t>Не норматив. Проверить по профилям зависимости и эвакуации.</t>
  </si>
  <si>
    <t>Жителей на условный жилой этаж</t>
  </si>
  <si>
    <t>Для минимального числа постов; планировка не утверждена.</t>
  </si>
  <si>
    <t>Жителей на дневной пост</t>
  </si>
  <si>
    <t>Расчетное допущение, не норматив.</t>
  </si>
  <si>
    <t>Жителей на ночной пост</t>
  </si>
  <si>
    <t>Часов на смену</t>
  </si>
  <si>
    <t>Дневная + ночная смены покрывают сутки.</t>
  </si>
  <si>
    <t>Конверсия обращения в заселение</t>
  </si>
  <si>
    <t>Гипотеза воронки; проверить рекламным тестом.</t>
  </si>
  <si>
    <t>Маркетинг в составе постоянных</t>
  </si>
  <si>
    <t>Для ориентира стоимости обращения; уже включено в строку 48.</t>
  </si>
  <si>
    <t>Синие значения на желтом фоне изменяются. Зеленые — ссылки; черные — формулы.</t>
  </si>
  <si>
    <t>Месяц после открытия</t>
  </si>
  <si>
    <t>Календарный месяц</t>
  </si>
  <si>
    <t>Жителей на конец: активный</t>
  </si>
  <si>
    <t>Долг: денежная выплата/месяц</t>
  </si>
  <si>
    <t>План жителей — гипотеза. Месячные выплаты долга можно заменить числами.</t>
  </si>
  <si>
    <t>Источник зарплаты</t>
  </si>
  <si>
    <t>https://lyubertsy.hh.ru/vacancies/specialist_po_kachestvu/smenniy_grafik</t>
  </si>
  <si>
    <t>Источник взносов</t>
  </si>
  <si>
    <t>https://www.nalog.gov.ru/rn28/about_fts/fts/public_council/os/16626207/</t>
  </si>
  <si>
    <t>Налоговая база и ограничения</t>
  </si>
  <si>
    <t>См. исследование 01 и итоговый отчет. Допущения действуют на дату модели 16.09.2026.</t>
  </si>
  <si>
    <t>Индивидуальные расходы</t>
  </si>
  <si>
    <t>Лекарства, лечебные смеси и индивидуальные подгузники — отдельно по договору; в базовом бюджете не покрыты полностью.</t>
  </si>
  <si>
    <t>Прогноз на 24 календарных месяца</t>
  </si>
  <si>
    <t>Календарных дней</t>
  </si>
  <si>
    <t>Календарный год</t>
  </si>
  <si>
    <t>Расчетная вместимость</t>
  </si>
  <si>
    <t>Жителей на начало</t>
  </si>
  <si>
    <t>Жителей на конец</t>
  </si>
  <si>
    <t>Средняя загрузка</t>
  </si>
  <si>
    <t>Максимум жителей для штата</t>
  </si>
  <si>
    <t>Выбытия, гипотеза</t>
  </si>
  <si>
    <t>Необходимые заселения</t>
  </si>
  <si>
    <t>Необходимые обращения</t>
  </si>
  <si>
    <t>Цена с НДС, ₽/сутки</t>
  </si>
  <si>
    <t>Другие доходы для порога НДС</t>
  </si>
  <si>
    <t>Доход текущего года до месяца</t>
  </si>
  <si>
    <t>НДС включен: 1 / нет: 0</t>
  </si>
  <si>
    <t>НДС в клиентских платежах</t>
  </si>
  <si>
    <t>Доход текущего года на конец</t>
  </si>
  <si>
    <t>Дневных постов ухода</t>
  </si>
  <si>
    <t>Ночных постов ухода</t>
  </si>
  <si>
    <t>FTE ухода с резервом</t>
  </si>
  <si>
    <t>Gross/FTE ухода, ₽</t>
  </si>
  <si>
    <t>Gross персонала ухода</t>
  </si>
  <si>
    <t>Gross вспомогательного штата</t>
  </si>
  <si>
    <t>Совокупный gross</t>
  </si>
  <si>
    <t>Страховые начисления</t>
  </si>
  <si>
    <t>Питание, стирка, гигиена жителей</t>
  </si>
  <si>
    <t>Питание работников</t>
  </si>
  <si>
    <t>Прочие постоянные и доп. медсестра</t>
  </si>
  <si>
    <t>Эквайринг</t>
  </si>
  <si>
    <t>Доля полной аренды</t>
  </si>
  <si>
    <t>Аренда с НДС арендодателя</t>
  </si>
  <si>
    <t>Денежные расходы без аренды</t>
  </si>
  <si>
    <t>Денежные расходы с арендой</t>
  </si>
  <si>
    <t>EBITDA до налогового резерва</t>
  </si>
  <si>
    <t>Обслуживание долга</t>
  </si>
  <si>
    <t>Денежный результат месяца</t>
  </si>
  <si>
    <t>Накопленный операционный результат</t>
  </si>
  <si>
    <t>Свободные деньги с резервом</t>
  </si>
  <si>
    <t>Амортизация оснащения</t>
  </si>
  <si>
    <t>Результат после амортизации и УСН</t>
  </si>
  <si>
    <t>Накопленный поток без ремонта</t>
  </si>
  <si>
    <t>Доступно на аренду и налог</t>
  </si>
  <si>
    <t>Предельная аренда при нулевом ДП</t>
  </si>
  <si>
    <t>Аренда при целевом денежном запасе</t>
  </si>
  <si>
    <t>Денежная рентабельность</t>
  </si>
  <si>
    <t>Бюджет на обращение, ₽</t>
  </si>
  <si>
    <t>Проверка: жителей сверх вместимости</t>
  </si>
  <si>
    <t>Положительный месячный поток: 1</t>
  </si>
  <si>
    <t>Возврат учтённых вложений (без ремонта): 1</t>
  </si>
  <si>
    <t>УСН — ежемесячный резерв. Оплата налога, вычеты и перенос убытков отдельно проверяются бухгалтером.</t>
  </si>
  <si>
    <t>Вспомогательный штат</t>
  </si>
  <si>
    <t>Должность</t>
  </si>
  <si>
    <t>FTE</t>
  </si>
  <si>
    <t>Gross/FTE, ₽</t>
  </si>
  <si>
    <t>Gross/месяц, ₽</t>
  </si>
  <si>
    <t>Управляющий</t>
  </si>
  <si>
    <t>Опора: местная вакансия 70 400 ₽ gross для ухода.</t>
  </si>
  <si>
    <t>Руководитель ухода</t>
  </si>
  <si>
    <t>https://teplye-besedy.ru/about/vacancies/</t>
  </si>
  <si>
    <t>Администратор</t>
  </si>
  <si>
    <t>https://hh.ru/vacancies/administrator-otdeleniya/polniy_den</t>
  </si>
  <si>
    <t>Повара</t>
  </si>
  <si>
    <t>Кухонные работники</t>
  </si>
  <si>
    <t>Gross — до НДФЛ. Net зарплат здесь не смешивается с gross.</t>
  </si>
  <si>
    <t>Уборка</t>
  </si>
  <si>
    <t>Досуг</t>
  </si>
  <si>
    <t>Техническое обслуживание</t>
  </si>
  <si>
    <t>Итого вспомогательный штат</t>
  </si>
  <si>
    <t>Все ставки — бюджетные допущения.</t>
  </si>
  <si>
    <t>Штат ухода и начисления рассчитаны на вкладке «Помесячно».</t>
  </si>
  <si>
    <t>Руководитель ухода 5/2 не является круглосуточной медсестрой.</t>
  </si>
  <si>
    <t>Прачечная — внешний подряд, затраты в переменных расходах.</t>
  </si>
  <si>
    <t>Фактическое число сотрудников и график утверждаются до открытия.</t>
  </si>
  <si>
    <t>Инвестиции и финансирование</t>
  </si>
  <si>
    <t>Позиция</t>
  </si>
  <si>
    <t>Количество</t>
  </si>
  <si>
    <t>Ед.</t>
  </si>
  <si>
    <t>Цена, ₽</t>
  </si>
  <si>
    <t>Сумма, ₽</t>
  </si>
  <si>
    <t>Кровать механическая</t>
  </si>
  <si>
    <t>шт.</t>
  </si>
  <si>
    <t>https://www.met.ru/goods/19563/</t>
  </si>
  <si>
    <t>Кровать электрическая</t>
  </si>
  <si>
    <t>https://www.met.ru/goods/18001/</t>
  </si>
  <si>
    <t>Матрас с мембранным чехлом</t>
  </si>
  <si>
    <t>https://www.met.ru/goods/18898/</t>
  </si>
  <si>
    <t>Тумба, шкаф, текстиль</t>
  </si>
  <si>
    <t>компл.</t>
  </si>
  <si>
    <t>Бюджетное допущение</t>
  </si>
  <si>
    <t>Мобильный подъемник пациента</t>
  </si>
  <si>
    <t>https://www.met.ru/goods/18656/</t>
  </si>
  <si>
    <t>Кресло-туалет</t>
  </si>
  <si>
    <t>https://www.met.ru/goods/21310/</t>
  </si>
  <si>
    <t>Противопролежневая система</t>
  </si>
  <si>
    <t>https://www.met.ru/goods/19599/</t>
  </si>
  <si>
    <t>Мебель общих зон</t>
  </si>
  <si>
    <t>Оснащение кухни</t>
  </si>
  <si>
    <t>Вызов персонала</t>
  </si>
  <si>
    <t>IT и видеонаблюдение</t>
  </si>
  <si>
    <t>Служебная мебель</t>
  </si>
  <si>
    <t>Прочее оснащение</t>
  </si>
  <si>
    <t>Изолятор: 2 койки с оснащением</t>
  </si>
  <si>
    <t>2 отдельные палаты вне продаваемой вместимости.</t>
  </si>
  <si>
    <t>Оснащение до резерва</t>
  </si>
  <si>
    <t>Резерв оснащения</t>
  </si>
  <si>
    <t>Оснащение с резервом</t>
  </si>
  <si>
    <t>Предпусковые расходы</t>
  </si>
  <si>
    <t>Первоначальный запас</t>
  </si>
  <si>
    <t>Возвратный депозит аренды</t>
  </si>
  <si>
    <t>Невозвратные первоначальные расходы</t>
  </si>
  <si>
    <t>Ликвидность на счете при открытии</t>
  </si>
  <si>
    <t>Финансирование без ремонта с резервом</t>
  </si>
  <si>
    <t>Резерв ликвидности не является расходом.</t>
  </si>
  <si>
    <t>Депозит и запас включены один раз. Возврат при выходе не моделируется.</t>
  </si>
  <si>
    <t>Ремонт и реконструкция полностью вне этого бюджета: отдельная смета.</t>
  </si>
  <si>
    <t>Подъемник пациента не заменяет межэтажный лифт.</t>
  </si>
  <si>
    <t>Амортизация только оснащения с резервом: условно 60 месяцев.</t>
  </si>
  <si>
    <t>Дополнительно 2 изоляционные койки вне постоянных мест.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</si>
</sst>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&quot;-&quot;"/>
    <numFmt numFmtId="165" formatCode="0.00&quot;x&quot;"/>
    <numFmt numFmtId="166" formatCode="yyyy\-mm\-dd"/>
    <numFmt numFmtId="167" formatCode="#,##0.0;\(#,##0.0\);&quot;-&quot;"/>
    <numFmt numFmtId="168" formatCode="0.0%;\(0.0%\);&quot;-&quot;"/>
    <numFmt numFmtId="169" formatCode="mmm\-yy"/>
  </numFmts>
  <fonts count="14">
    <font>
      <sz val="11"/>
      <name val="Carlito"/>
    </font>
    <font>
      <sz val="10"/>
      <color rgb="FF172E46"/>
      <name val="Arial"/>
    </font>
    <font>
      <b/>
      <sz val="15"/>
      <color rgb="FF172E46"/>
      <name val="Arial"/>
    </font>
    <font>
      <sz val="10"/>
      <color rgb="FF00804A"/>
      <name val="Arial"/>
    </font>
    <font>
      <sz val="10"/>
      <color rgb="FF245BC4"/>
      <name val="Arial"/>
    </font>
    <font>
      <sz val="10"/>
      <color rgb="FF000000"/>
      <name val="Arial"/>
    </font>
    <font>
      <b/>
      <sz val="10"/>
      <color rgb="FF172E46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i/>
      <sz val="10"/>
      <color rgb="FF172E46"/>
      <name val="Arial"/>
    </font>
    <font>
      <i/>
      <sz val="10"/>
      <color rgb="FF00804A"/>
      <name val="Arial"/>
    </font>
    <font>
      <b/>
      <sz val="10"/>
      <color rgb="FF00804A"/>
      <name val="Arial"/>
    </font>
    <font>
      <sz val="10"/>
      <color rgb="FF637383"/>
      <name val="Arial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FF4D5"/>
      </patternFill>
    </fill>
    <fill>
      <patternFill patternType="solid">
        <fgColor rgb="FFE6EDF3"/>
      </patternFill>
    </fill>
    <fill>
      <patternFill patternType="solid">
        <fgColor rgb="FFFFFFFF"/>
      </patternFill>
    </fill>
    <fill>
      <patternFill patternType="solid">
        <fgColor rgb="FF1B344C"/>
      </patternFill>
    </fill>
  </fills>
  <borders count="6">
    <border>
      <left/>
      <right/>
      <top/>
      <bottom/>
      <diagonal/>
    </border>
    <border>
      <left/>
      <right/>
      <top/>
      <bottom style="thin">
        <color rgb="FFB8C5D1"/>
      </bottom>
      <diagonal/>
    </border>
    <border>
      <left style="dotted">
        <color rgb="FF78919F"/>
      </left>
      <right style="dotted">
        <color rgb="FF78919F"/>
      </right>
      <top style="dotted">
        <color rgb="FF78919F"/>
      </top>
      <bottom style="dotted">
        <color rgb="FF78919F"/>
      </bottom>
      <diagonal/>
    </border>
    <border>
      <left/>
      <right/>
      <top style="thin">
        <color rgb="FF172E46"/>
      </top>
      <bottom/>
      <diagonal/>
    </border>
    <border>
      <left/>
      <right/>
      <top style="thin">
        <color rgb="FFB8C5D1"/>
      </top>
      <bottom/>
      <diagonal/>
    </border>
    <border>
      <left/>
      <right/>
      <top style="thin">
        <color rgb="FFC5D1DD"/>
      </top>
      <bottom/>
      <diagonal/>
    </border>
  </borders>
  <cellStyleXfs count="2">
    <xf numFmtId="0" fontId="0" fillId="0" borderId="0"/>
    <xf numFmtId="0" fontId="13" fillId="0" borderId="0"/>
  </cellStyleXfs>
  <cellXfs count="38">
    <xf numFmtId="0" fontId="0" fillId="0" borderId="0" xfId="0"/>
    <xf numFmtId="164" fontId="1" fillId="0" borderId="0" xfId="1" applyNumberFormat="1" applyFont="1" applyAlignment="1">
      <alignment vertical="center"/>
    </xf>
    <xf numFmtId="164" fontId="2" fillId="0" borderId="0" xfId="1" applyNumberFormat="1" applyFont="1" applyAlignment="1">
      <alignment vertical="center"/>
    </xf>
    <xf numFmtId="164" fontId="1" fillId="0" borderId="1" xfId="1" applyNumberFormat="1" applyFont="1" applyBorder="1" applyAlignment="1">
      <alignment vertical="center"/>
    </xf>
    <xf numFmtId="164" fontId="3" fillId="0" borderId="0" xfId="1" applyNumberFormat="1" applyFont="1" applyAlignment="1">
      <alignment vertical="center"/>
    </xf>
    <xf numFmtId="164" fontId="3" fillId="0" borderId="2" xfId="1" applyNumberFormat="1" applyFont="1" applyBorder="1" applyAlignment="1">
      <alignment horizontal="center" vertical="center"/>
    </xf>
    <xf numFmtId="164" fontId="4" fillId="2" borderId="0" xfId="1" applyNumberFormat="1" applyFont="1" applyFill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3" borderId="0" xfId="1" applyNumberFormat="1" applyFont="1" applyFill="1" applyAlignment="1">
      <alignment vertical="center"/>
    </xf>
    <xf numFmtId="164" fontId="7" fillId="3" borderId="0" xfId="1" applyNumberFormat="1" applyFont="1" applyFill="1" applyAlignment="1">
      <alignment vertical="center"/>
    </xf>
    <xf numFmtId="165" fontId="7" fillId="3" borderId="0" xfId="1" applyNumberFormat="1" applyFont="1" applyFill="1" applyAlignment="1">
      <alignment vertical="center"/>
    </xf>
    <xf numFmtId="165" fontId="4" fillId="2" borderId="0" xfId="1" applyNumberFormat="1" applyFont="1" applyFill="1" applyAlignment="1">
      <alignment vertical="center"/>
    </xf>
    <xf numFmtId="166" fontId="4" fillId="2" borderId="0" xfId="1" applyNumberFormat="1" applyFont="1" applyFill="1" applyAlignment="1">
      <alignment vertical="center"/>
    </xf>
    <xf numFmtId="164" fontId="5" fillId="4" borderId="0" xfId="1" applyNumberFormat="1" applyFont="1" applyFill="1" applyAlignment="1">
      <alignment vertical="center"/>
    </xf>
    <xf numFmtId="167" fontId="4" fillId="2" borderId="0" xfId="1" applyNumberFormat="1" applyFont="1" applyFill="1" applyAlignment="1">
      <alignment vertical="center"/>
    </xf>
    <xf numFmtId="168" fontId="4" fillId="2" borderId="0" xfId="1" applyNumberFormat="1" applyFont="1" applyFill="1" applyAlignment="1">
      <alignment vertical="center"/>
    </xf>
    <xf numFmtId="169" fontId="1" fillId="0" borderId="0" xfId="1" applyNumberFormat="1" applyFont="1" applyAlignment="1">
      <alignment vertical="center"/>
    </xf>
    <xf numFmtId="164" fontId="8" fillId="5" borderId="0" xfId="1" applyNumberFormat="1" applyFont="1" applyFill="1" applyAlignment="1">
      <alignment vertical="center"/>
    </xf>
    <xf numFmtId="167" fontId="1" fillId="0" borderId="0" xfId="1" applyNumberFormat="1" applyFont="1" applyAlignment="1">
      <alignment vertical="center"/>
    </xf>
    <xf numFmtId="164" fontId="6" fillId="0" borderId="3" xfId="1" applyNumberFormat="1" applyFont="1" applyBorder="1" applyAlignment="1">
      <alignment vertical="center"/>
    </xf>
    <xf numFmtId="167" fontId="7" fillId="0" borderId="3" xfId="1" applyNumberFormat="1" applyFont="1" applyBorder="1" applyAlignment="1">
      <alignment vertical="center"/>
    </xf>
    <xf numFmtId="164" fontId="7" fillId="0" borderId="3" xfId="1" applyNumberFormat="1" applyFont="1" applyBorder="1" applyAlignment="1">
      <alignment vertical="center"/>
    </xf>
    <xf numFmtId="164" fontId="6" fillId="0" borderId="0" xfId="1" applyNumberFormat="1" applyFont="1" applyAlignment="1">
      <alignment vertical="center"/>
    </xf>
    <xf numFmtId="164" fontId="6" fillId="0" borderId="4" xfId="1" applyNumberFormat="1" applyFont="1" applyBorder="1" applyAlignment="1">
      <alignment vertical="center"/>
    </xf>
    <xf numFmtId="164" fontId="7" fillId="0" borderId="4" xfId="1" applyNumberFormat="1" applyFont="1" applyBorder="1" applyAlignment="1">
      <alignment vertical="center"/>
    </xf>
    <xf numFmtId="1" fontId="1" fillId="0" borderId="0" xfId="1" applyNumberFormat="1" applyFont="1" applyAlignment="1">
      <alignment vertical="center"/>
    </xf>
    <xf numFmtId="1" fontId="3" fillId="0" borderId="0" xfId="1" applyNumberFormat="1" applyFont="1" applyAlignment="1">
      <alignment vertical="center"/>
    </xf>
    <xf numFmtId="169" fontId="8" fillId="5" borderId="0" xfId="1" applyNumberFormat="1" applyFont="1" applyFill="1" applyAlignment="1">
      <alignment vertical="center"/>
    </xf>
    <xf numFmtId="167" fontId="3" fillId="0" borderId="0" xfId="1" applyNumberFormat="1" applyFont="1" applyAlignment="1">
      <alignment vertical="center"/>
    </xf>
    <xf numFmtId="168" fontId="1" fillId="0" borderId="0" xfId="1" applyNumberFormat="1" applyFont="1" applyAlignment="1">
      <alignment vertical="center"/>
    </xf>
    <xf numFmtId="164" fontId="9" fillId="0" borderId="0" xfId="1" applyNumberFormat="1" applyFont="1" applyAlignment="1">
      <alignment vertical="center"/>
    </xf>
    <xf numFmtId="168" fontId="9" fillId="0" borderId="0" xfId="1" applyNumberFormat="1" applyFont="1" applyAlignment="1">
      <alignment vertical="center"/>
    </xf>
    <xf numFmtId="168" fontId="10" fillId="0" borderId="0" xfId="1" applyNumberFormat="1" applyFont="1" applyAlignment="1">
      <alignment vertical="center"/>
    </xf>
    <xf numFmtId="164" fontId="6" fillId="0" borderId="5" xfId="1" applyNumberFormat="1" applyFont="1" applyBorder="1" applyAlignment="1">
      <alignment vertical="center"/>
    </xf>
    <xf numFmtId="164" fontId="11" fillId="0" borderId="5" xfId="1" applyNumberFormat="1" applyFont="1" applyBorder="1" applyAlignment="1">
      <alignment vertical="center"/>
    </xf>
    <xf numFmtId="164" fontId="12" fillId="0" borderId="0" xfId="1" applyNumberFormat="1" applyFont="1" applyAlignment="1">
      <alignment vertical="center"/>
    </xf>
    <xf numFmtId="164" fontId="1" fillId="0" borderId="0" xfId="1" applyNumberFormat="1" applyFont="1" applyAlignment="1">
      <alignment vertical="center" wrapText="1"/>
    </xf>
    <xf numFmtId="164" fontId="1" fillId="0" borderId="0" xfId="1" applyNumberFormat="1" applyFont="1" applyAlignment="1">
      <alignment vertical="center"/>
    </xf>
  </cellXfs>
  <cellStyles count="2">
    <cellStyle name="Normal" xfId="1" xr:uid="{00000000-0005-0000-0000-000000000000}"/>
    <cellStyle name="Обычный" xfId="0" builtinId="0"/>
  </cellStyles>
  <dxfs count="11">
    <dxf>
      <font>
        <color rgb="FFA82020"/>
      </font>
      <fill>
        <patternFill patternType="solid">
          <bgColor rgb="FFFDE9E7"/>
        </patternFill>
      </fill>
    </dxf>
    <dxf>
      <font>
        <color rgb="FFA82020"/>
      </font>
      <fill>
        <patternFill patternType="solid">
          <bgColor rgb="FFFDE9E7"/>
        </patternFill>
      </fill>
    </dxf>
    <dxf>
      <font>
        <color rgb="FFA82020"/>
      </font>
      <fill>
        <patternFill patternType="solid">
          <bgColor rgb="FFFDE9E7"/>
        </patternFill>
      </fill>
    </dxf>
    <dxf>
      <font>
        <color rgb="FFA82020"/>
      </font>
      <fill>
        <patternFill patternType="solid">
          <bgColor rgb="FFFDE9E7"/>
        </patternFill>
      </fill>
    </dxf>
    <dxf>
      <font>
        <color rgb="FFA82020"/>
      </font>
      <fill>
        <patternFill patternType="solid">
          <bgColor rgb="FFFDE9E7"/>
        </patternFill>
      </fill>
    </dxf>
    <dxf>
      <font>
        <color rgb="FFA82020"/>
      </font>
      <fill>
        <patternFill patternType="solid">
          <bgColor rgb="FFFDE9E7"/>
        </patternFill>
      </fill>
    </dxf>
    <dxf>
      <font>
        <color rgb="FFA82020"/>
      </font>
      <fill>
        <patternFill patternType="solid">
          <bgColor rgb="FFFDE9E7"/>
        </patternFill>
      </fill>
    </dxf>
    <dxf>
      <font>
        <color rgb="FFA82020"/>
      </font>
      <fill>
        <patternFill patternType="solid">
          <bgColor rgb="FFFDE9E7"/>
        </patternFill>
      </fill>
    </dxf>
    <dxf>
      <font>
        <color rgb="FFA82020"/>
      </font>
      <fill>
        <patternFill patternType="solid">
          <bgColor rgb="FFFDE9E7"/>
        </patternFill>
      </fill>
    </dxf>
    <dxf>
      <font>
        <color rgb="FFA82020"/>
      </font>
      <fill>
        <patternFill patternType="solid">
          <bgColor rgb="FFFDE9E7"/>
        </patternFill>
      </fill>
    </dxf>
    <dxf>
      <font>
        <color rgb="FFA82020"/>
      </font>
      <fill>
        <patternFill patternType="solid"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44C"/>
  </sheetPr>
  <dimension ref="C2:I52"/>
  <sheetViews>
    <sheetView showGridLines="0" tabSelected="1" workbookViewId="0"/>
  </sheetViews>
  <sheetFormatPr defaultRowHeight="14.25"/>
  <cols>
    <col min="1" max="2" width="2" customWidth="1"/>
    <col min="3" max="3" width="52" customWidth="1"/>
    <col min="4" max="9" width="16" customWidth="1"/>
  </cols>
  <sheetData>
    <row r="2" spans="3:9" ht="21.95" customHeight="1">
      <c r="C2" s="2" t="s">
        <v>0</v>
      </c>
      <c r="D2" s="1"/>
      <c r="E2" s="1"/>
      <c r="F2" s="1"/>
      <c r="G2" s="1"/>
      <c r="H2" s="1"/>
      <c r="I2" s="1"/>
    </row>
    <row r="3" spans="3:9" ht="21.95" customHeight="1">
      <c r="C3" s="3"/>
      <c r="D3" s="3"/>
      <c r="E3" s="3"/>
      <c r="F3" s="3"/>
      <c r="G3" s="3"/>
      <c r="H3" s="3"/>
      <c r="I3" s="3"/>
    </row>
    <row r="4" spans="3:9" ht="21.95" customHeight="1">
      <c r="C4" s="1" t="s">
        <v>1</v>
      </c>
      <c r="D4" s="5" t="str">
        <f>Параметры!E5</f>
        <v>Базовый</v>
      </c>
      <c r="E4" s="1"/>
      <c r="F4" s="1"/>
      <c r="G4" s="1"/>
      <c r="H4" s="1"/>
      <c r="I4" s="1"/>
    </row>
    <row r="5" spans="3:9" ht="21.95" customHeight="1">
      <c r="C5" s="1"/>
      <c r="D5" s="1"/>
      <c r="E5" s="1"/>
      <c r="F5" s="1"/>
      <c r="G5" s="1"/>
      <c r="H5" s="1"/>
      <c r="I5" s="1"/>
    </row>
    <row r="6" spans="3:9" ht="21.95" customHeight="1">
      <c r="C6" s="1"/>
      <c r="D6" s="1"/>
      <c r="E6" s="1"/>
      <c r="F6" s="1"/>
      <c r="G6" s="1"/>
      <c r="H6" s="1"/>
      <c r="I6" s="1"/>
    </row>
    <row r="7" spans="3:9" ht="21.95" customHeight="1">
      <c r="C7" s="17" t="s">
        <v>2</v>
      </c>
      <c r="D7" s="17"/>
      <c r="E7" s="17"/>
      <c r="F7" s="27">
        <f>Помесячно!O7</f>
        <v>46844</v>
      </c>
      <c r="G7" s="27">
        <f>Помесячно!P7</f>
        <v>46874</v>
      </c>
      <c r="H7" s="27">
        <f>Помесячно!Q7</f>
        <v>46905</v>
      </c>
      <c r="I7" s="27">
        <f>Помесячно!AC7</f>
        <v>47270</v>
      </c>
    </row>
    <row r="8" spans="3:9" ht="21.95" customHeight="1">
      <c r="C8" s="1" t="s">
        <v>3</v>
      </c>
      <c r="D8" s="1"/>
      <c r="E8" s="1"/>
      <c r="F8" s="18">
        <f>Помесячно!O13</f>
        <v>51</v>
      </c>
      <c r="G8" s="18">
        <f>Помесячно!P13</f>
        <v>53</v>
      </c>
      <c r="H8" s="18">
        <f>Помесячно!Q13</f>
        <v>54</v>
      </c>
      <c r="I8" s="18">
        <f>Помесячно!AC13</f>
        <v>54</v>
      </c>
    </row>
    <row r="9" spans="3:9" ht="21.95" customHeight="1">
      <c r="C9" s="1" t="s">
        <v>4</v>
      </c>
      <c r="D9" s="1"/>
      <c r="E9" s="1"/>
      <c r="F9" s="29">
        <f>Помесячно!O14</f>
        <v>0.85</v>
      </c>
      <c r="G9" s="29">
        <f>Помесячно!P14</f>
        <v>0.8833333333333333</v>
      </c>
      <c r="H9" s="29">
        <f>Помесячно!Q14</f>
        <v>0.9</v>
      </c>
      <c r="I9" s="29">
        <f>Помесячно!AC14</f>
        <v>0.9</v>
      </c>
    </row>
    <row r="10" spans="3:9" ht="21.95" customHeight="1">
      <c r="C10" s="1" t="s">
        <v>5</v>
      </c>
      <c r="D10" s="1"/>
      <c r="E10" s="1"/>
      <c r="F10" s="1">
        <f>Помесячно!O20</f>
        <v>5967000</v>
      </c>
      <c r="G10" s="1">
        <f>Помесячно!P20</f>
        <v>6407700</v>
      </c>
      <c r="H10" s="1">
        <f>Помесячно!Q20</f>
        <v>6318000</v>
      </c>
      <c r="I10" s="1">
        <f>Помесячно!AC20</f>
        <v>6697080</v>
      </c>
    </row>
    <row r="11" spans="3:9" ht="21.95" customHeight="1">
      <c r="C11" s="1" t="s">
        <v>6</v>
      </c>
      <c r="D11" s="1"/>
      <c r="E11" s="1"/>
      <c r="F11" s="1">
        <f>Помесячно!O26</f>
        <v>5682857.1428571427</v>
      </c>
      <c r="G11" s="1">
        <f>Помесячно!P26</f>
        <v>6102571.4285714282</v>
      </c>
      <c r="H11" s="1">
        <f>Помесячно!Q26</f>
        <v>6017142.8571428573</v>
      </c>
      <c r="I11" s="1">
        <f>Помесячно!AC26</f>
        <v>6378171.4285714282</v>
      </c>
    </row>
    <row r="12" spans="3:9" ht="21.95" customHeight="1">
      <c r="C12" s="1" t="s">
        <v>7</v>
      </c>
      <c r="D12" s="1"/>
      <c r="E12" s="1"/>
      <c r="F12" s="1">
        <f>Помесячно!O36</f>
        <v>3697680</v>
      </c>
      <c r="G12" s="1">
        <f>Помесячно!P36</f>
        <v>3801840</v>
      </c>
      <c r="H12" s="1">
        <f>Помесячно!Q36</f>
        <v>3697680</v>
      </c>
      <c r="I12" s="1">
        <f>Помесячно!AC36</f>
        <v>3956517.6</v>
      </c>
    </row>
    <row r="13" spans="3:9" ht="21.95" customHeight="1">
      <c r="C13" s="1" t="s">
        <v>8</v>
      </c>
      <c r="D13" s="1"/>
      <c r="E13" s="1"/>
      <c r="F13" s="1">
        <f>Помесячно!O43</f>
        <v>1290170</v>
      </c>
      <c r="G13" s="1">
        <f>Помесячно!P43</f>
        <v>1290170</v>
      </c>
      <c r="H13" s="1">
        <f>Помесячно!Q43</f>
        <v>1290170</v>
      </c>
      <c r="I13" s="1">
        <f>Помесячно!AC43</f>
        <v>1354678.5</v>
      </c>
    </row>
    <row r="14" spans="3:9" ht="21.95" customHeight="1">
      <c r="C14" s="1" t="s">
        <v>9</v>
      </c>
      <c r="D14" s="1"/>
      <c r="E14" s="1"/>
      <c r="F14" s="1">
        <f>Помесячно!O46</f>
        <v>-830562.85714285728</v>
      </c>
      <c r="G14" s="1">
        <f>Помесячно!P46</f>
        <v>-582805.57142857183</v>
      </c>
      <c r="H14" s="1">
        <f>Помесячно!Q46</f>
        <v>-547487.14285714272</v>
      </c>
      <c r="I14" s="1">
        <f>Помесячно!AC46</f>
        <v>-604411.4714285722</v>
      </c>
    </row>
    <row r="15" spans="3:9" ht="21.95" customHeight="1">
      <c r="C15" s="1" t="s">
        <v>10</v>
      </c>
      <c r="D15" s="1"/>
      <c r="E15" s="1"/>
      <c r="F15" s="1">
        <f>Помесячно!O47</f>
        <v>56828.571428571428</v>
      </c>
      <c r="G15" s="1">
        <f>Помесячно!P47</f>
        <v>61025.714285714283</v>
      </c>
      <c r="H15" s="1">
        <f>Помесячно!Q47</f>
        <v>60171.428571428572</v>
      </c>
      <c r="I15" s="1">
        <f>Помесячно!AC47</f>
        <v>63781.714285714283</v>
      </c>
    </row>
    <row r="16" spans="3:9" ht="21.95" customHeight="1">
      <c r="C16" s="22" t="s">
        <v>11</v>
      </c>
      <c r="D16" s="22"/>
      <c r="E16" s="22"/>
      <c r="F16" s="22">
        <f>Помесячно!O49</f>
        <v>-887391.42857142875</v>
      </c>
      <c r="G16" s="22">
        <f>Помесячно!P49</f>
        <v>-643831.28571428615</v>
      </c>
      <c r="H16" s="22">
        <f>Помесячно!Q49</f>
        <v>-607658.57142857125</v>
      </c>
      <c r="I16" s="22">
        <f>Помесячно!AC49</f>
        <v>-668193.18571428652</v>
      </c>
    </row>
    <row r="17" spans="3:9" ht="21.95" customHeight="1">
      <c r="C17" s="22" t="s">
        <v>12</v>
      </c>
      <c r="D17" s="22"/>
      <c r="E17" s="22"/>
      <c r="F17" s="22">
        <f>Помесячно!O56</f>
        <v>402778.5714285713</v>
      </c>
      <c r="G17" s="22">
        <f>Помесячно!P56</f>
        <v>646338.71428571385</v>
      </c>
      <c r="H17" s="22">
        <f>Помесячно!Q56</f>
        <v>682511.42857142875</v>
      </c>
      <c r="I17" s="22">
        <f>Помесячно!AC56</f>
        <v>686485.31428571348</v>
      </c>
    </row>
    <row r="18" spans="3:9" ht="21.95" customHeight="1">
      <c r="C18" s="22" t="s">
        <v>13</v>
      </c>
      <c r="D18" s="22"/>
      <c r="E18" s="22"/>
      <c r="F18" s="22">
        <f>Помесячно!O57</f>
        <v>102778.5714285713</v>
      </c>
      <c r="G18" s="22">
        <f>Помесячно!P57</f>
        <v>346338.71428571391</v>
      </c>
      <c r="H18" s="22">
        <f>Помесячно!Q57</f>
        <v>382511.4285714287</v>
      </c>
      <c r="I18" s="22">
        <f>Помесячно!AC57</f>
        <v>386485.31428571354</v>
      </c>
    </row>
    <row r="19" spans="3:9" ht="21.95" customHeight="1">
      <c r="C19" s="1"/>
      <c r="D19" s="1"/>
      <c r="E19" s="1"/>
      <c r="F19" s="1"/>
      <c r="G19" s="1"/>
      <c r="H19" s="1"/>
      <c r="I19" s="1"/>
    </row>
    <row r="20" spans="3:9" ht="21.95" customHeight="1">
      <c r="C20" s="1"/>
      <c r="D20" s="1"/>
      <c r="E20" s="1"/>
      <c r="F20" s="1"/>
      <c r="G20" s="1"/>
      <c r="H20" s="1"/>
      <c r="I20" s="1"/>
    </row>
    <row r="21" spans="3:9" ht="21.95" customHeight="1">
      <c r="C21" s="1" t="s">
        <v>14</v>
      </c>
      <c r="D21" s="1"/>
      <c r="E21" s="1"/>
      <c r="F21" s="1">
        <f>MIN(Помесячно!O56:Q56)</f>
        <v>402778.5714285713</v>
      </c>
      <c r="G21" s="1"/>
      <c r="H21" s="1"/>
      <c r="I21" s="1"/>
    </row>
    <row r="22" spans="3:9" ht="21.95" customHeight="1">
      <c r="C22" s="1" t="s">
        <v>15</v>
      </c>
      <c r="D22" s="1"/>
      <c r="E22" s="1"/>
      <c r="F22" s="1">
        <f>MIN(Помесячно!O49:Q49)</f>
        <v>-887391.42857142875</v>
      </c>
      <c r="G22" s="1"/>
      <c r="H22" s="1"/>
      <c r="I22" s="1"/>
    </row>
    <row r="23" spans="3:9" ht="21.95" customHeight="1">
      <c r="C23" s="1" t="s">
        <v>16</v>
      </c>
      <c r="D23" s="1"/>
      <c r="E23" s="1"/>
      <c r="F23" s="1" t="str">
        <f>IF(MAX(Помесячно!F62:AC62)=0,"Нет",MATCH(1,Помесячно!F62:AC62,0))</f>
        <v>Нет</v>
      </c>
      <c r="G23" s="1"/>
      <c r="H23" s="1"/>
      <c r="I23" s="1"/>
    </row>
    <row r="24" spans="3:9" ht="21.95" customHeight="1">
      <c r="C24" s="1" t="s">
        <v>17</v>
      </c>
      <c r="D24" s="1"/>
      <c r="E24" s="1"/>
      <c r="F24" s="1">
        <f>-MIN(0,Помесячно!F50:AC50)</f>
        <v>24257898.742857147</v>
      </c>
      <c r="G24" s="1"/>
      <c r="H24" s="1"/>
      <c r="I24" s="1"/>
    </row>
    <row r="25" spans="3:9" ht="21.95" customHeight="1">
      <c r="C25" s="1" t="s">
        <v>18</v>
      </c>
      <c r="D25" s="1"/>
      <c r="E25" s="1"/>
      <c r="F25" s="1">
        <f>Параметры!D63+MIN(0,Помесячно!F50:AC50)</f>
        <v>-16257898.742857147</v>
      </c>
      <c r="G25" s="1"/>
      <c r="H25" s="1"/>
      <c r="I25" s="1"/>
    </row>
    <row r="26" spans="3:9" ht="21.95" customHeight="1">
      <c r="C26" s="1" t="s">
        <v>19</v>
      </c>
      <c r="D26" s="1"/>
      <c r="E26" s="1"/>
      <c r="F26" s="1">
        <f>Инвестиции!G31</f>
        <v>16806850</v>
      </c>
      <c r="G26" s="1"/>
      <c r="H26" s="1"/>
      <c r="I26" s="1"/>
    </row>
    <row r="27" spans="3:9" ht="21.95" customHeight="1">
      <c r="C27" s="1" t="s">
        <v>20</v>
      </c>
      <c r="D27" s="1"/>
      <c r="E27" s="1"/>
      <c r="F27" s="1">
        <f>SUM(Инвестиции!G27:G28)</f>
        <v>2930340</v>
      </c>
      <c r="G27" s="1"/>
      <c r="H27" s="1"/>
      <c r="I27" s="1"/>
    </row>
    <row r="28" spans="3:9" ht="21.95" customHeight="1">
      <c r="C28" s="1" t="s">
        <v>21</v>
      </c>
      <c r="D28" s="1"/>
      <c r="E28" s="1"/>
      <c r="F28" s="1">
        <f>Инвестиции!G32</f>
        <v>8000000</v>
      </c>
      <c r="G28" s="1"/>
      <c r="H28" s="1"/>
      <c r="I28" s="1"/>
    </row>
    <row r="29" spans="3:9" ht="21.95" customHeight="1">
      <c r="C29" s="1" t="s">
        <v>22</v>
      </c>
      <c r="D29" s="1"/>
      <c r="E29" s="1"/>
      <c r="F29" s="1">
        <f>Инвестиции!G33</f>
        <v>24806850</v>
      </c>
      <c r="G29" s="1"/>
      <c r="H29" s="1"/>
      <c r="I29" s="1"/>
    </row>
    <row r="30" spans="3:9" ht="21.95" customHeight="1">
      <c r="C30" s="1" t="s">
        <v>23</v>
      </c>
      <c r="D30" s="1"/>
      <c r="E30" s="1"/>
      <c r="F30" s="1">
        <f>SUM(F24,F26)</f>
        <v>41064748.742857143</v>
      </c>
      <c r="G30" s="1"/>
      <c r="H30" s="1"/>
      <c r="I30" s="1"/>
    </row>
    <row r="31" spans="3:9" ht="21.95" customHeight="1">
      <c r="C31" s="1" t="s">
        <v>24</v>
      </c>
      <c r="D31" s="1"/>
      <c r="E31" s="1"/>
      <c r="F31" s="1">
        <f>Помесячно!AC54</f>
        <v>-41064748.742857143</v>
      </c>
      <c r="G31" s="1"/>
      <c r="H31" s="1"/>
      <c r="I31" s="1"/>
    </row>
    <row r="32" spans="3:9" ht="21.95" customHeight="1">
      <c r="C32" s="1" t="s">
        <v>25</v>
      </c>
      <c r="D32" s="1"/>
      <c r="E32" s="1"/>
      <c r="F32" s="36" t="str">
        <f>IF(MAX(Помесячно!F63:AC63)=0,"Не достигнут за 24 месяца",MATCH(1,Помесячно!F63:AC63,0))</f>
        <v>Не достигнут за 24 месяца</v>
      </c>
      <c r="G32" s="37"/>
      <c r="H32" s="37"/>
      <c r="I32" s="37"/>
    </row>
    <row r="33" spans="3:9" ht="21.95" customHeight="1">
      <c r="C33" s="1" t="s">
        <v>26</v>
      </c>
      <c r="D33" s="1"/>
      <c r="E33" s="1"/>
      <c r="F33" s="7">
        <f>MAX(0,-F25)</f>
        <v>16257898.742857147</v>
      </c>
      <c r="G33" s="1"/>
      <c r="H33" s="1"/>
      <c r="I33" s="1"/>
    </row>
    <row r="34" spans="3:9" ht="21.95" customHeight="1">
      <c r="C34" s="1"/>
      <c r="D34" s="1"/>
      <c r="E34" s="1"/>
      <c r="F34" s="1"/>
      <c r="G34" s="1"/>
      <c r="H34" s="1"/>
      <c r="I34" s="1"/>
    </row>
    <row r="35" spans="3:9" ht="21.95" customHeight="1">
      <c r="C35" s="35" t="s">
        <v>27</v>
      </c>
      <c r="D35" s="35"/>
      <c r="E35" s="35"/>
      <c r="F35" s="35"/>
      <c r="G35" s="35"/>
      <c r="H35" s="35"/>
      <c r="I35" s="35"/>
    </row>
    <row r="36" spans="3:9" ht="21.95" customHeight="1">
      <c r="C36" s="35" t="s">
        <v>28</v>
      </c>
      <c r="D36" s="35"/>
      <c r="E36" s="35"/>
      <c r="F36" s="35"/>
      <c r="G36" s="35"/>
      <c r="H36" s="35"/>
      <c r="I36" s="35"/>
    </row>
    <row r="37" spans="3:9" ht="21.95" customHeight="1">
      <c r="C37" s="35" t="s">
        <v>29</v>
      </c>
      <c r="D37" s="35"/>
      <c r="E37" s="35"/>
      <c r="F37" s="35"/>
      <c r="G37" s="35"/>
      <c r="H37" s="35"/>
      <c r="I37" s="35"/>
    </row>
    <row r="38" spans="3:9" ht="21.95" customHeight="1">
      <c r="C38" s="35" t="s">
        <v>30</v>
      </c>
      <c r="D38" s="35"/>
      <c r="E38" s="35"/>
      <c r="F38" s="35"/>
      <c r="G38" s="35"/>
      <c r="H38" s="35"/>
      <c r="I38" s="35"/>
    </row>
    <row r="39" spans="3:9" ht="21.95" customHeight="1">
      <c r="C39" s="35" t="s">
        <v>31</v>
      </c>
      <c r="D39" s="35"/>
      <c r="E39" s="35"/>
      <c r="F39" s="35"/>
      <c r="G39" s="35"/>
      <c r="H39" s="35"/>
      <c r="I39" s="35"/>
    </row>
    <row r="40" spans="3:9" ht="21.95" customHeight="1">
      <c r="C40" s="35" t="s">
        <v>32</v>
      </c>
      <c r="D40" s="35"/>
      <c r="E40" s="35"/>
      <c r="F40" s="35"/>
      <c r="G40" s="35"/>
      <c r="H40" s="35"/>
      <c r="I40" s="35"/>
    </row>
    <row r="41" spans="3:9" ht="21.95" customHeight="1">
      <c r="C41" s="35" t="s">
        <v>33</v>
      </c>
      <c r="D41" s="35"/>
      <c r="E41" s="35"/>
      <c r="F41" s="35"/>
      <c r="G41" s="35"/>
      <c r="H41" s="35"/>
      <c r="I41" s="35"/>
    </row>
    <row r="42" spans="3:9" ht="21.95" customHeight="1">
      <c r="C42" s="1"/>
      <c r="D42" s="1"/>
      <c r="E42" s="1"/>
      <c r="F42" s="1"/>
      <c r="G42" s="1"/>
      <c r="H42" s="1"/>
      <c r="I42" s="1"/>
    </row>
    <row r="43" spans="3:9" ht="21.95" customHeight="1">
      <c r="C43" s="1"/>
      <c r="D43" s="1"/>
      <c r="E43" s="1"/>
      <c r="F43" s="1"/>
      <c r="G43" s="1"/>
      <c r="H43" s="1"/>
      <c r="I43" s="1"/>
    </row>
    <row r="44" spans="3:9" ht="21.95" customHeight="1">
      <c r="C44" s="8" t="s">
        <v>34</v>
      </c>
      <c r="D44" s="8"/>
      <c r="E44" s="8"/>
      <c r="F44" s="8"/>
      <c r="G44" s="8"/>
      <c r="H44" s="8"/>
      <c r="I44" s="8"/>
    </row>
    <row r="45" spans="3:9" ht="21.95" customHeight="1">
      <c r="C45" s="1" t="s">
        <v>35</v>
      </c>
      <c r="D45" s="1"/>
      <c r="E45" s="1"/>
      <c r="F45" s="4">
        <f>Параметры!D41*3</f>
        <v>3870510</v>
      </c>
      <c r="G45" s="1"/>
      <c r="H45" s="1"/>
      <c r="I45" s="1"/>
    </row>
    <row r="46" spans="3:9" ht="21.95" customHeight="1">
      <c r="C46" s="1" t="s">
        <v>36</v>
      </c>
      <c r="D46" s="1"/>
      <c r="E46" s="1"/>
      <c r="F46" s="4">
        <f>Параметры!D41*6</f>
        <v>7741020</v>
      </c>
      <c r="G46" s="1"/>
      <c r="H46" s="1"/>
      <c r="I46" s="1"/>
    </row>
    <row r="47" spans="3:9" ht="21.95" customHeight="1">
      <c r="C47" s="1"/>
      <c r="D47" s="1"/>
      <c r="E47" s="1"/>
      <c r="F47" s="1"/>
      <c r="G47" s="1"/>
      <c r="H47" s="1"/>
      <c r="I47" s="1"/>
    </row>
    <row r="48" spans="3:9" ht="21.95" customHeight="1">
      <c r="C48" s="1" t="s">
        <v>37</v>
      </c>
      <c r="D48" s="1"/>
      <c r="E48" s="1"/>
      <c r="F48" s="1"/>
      <c r="G48" s="1"/>
      <c r="H48" s="1"/>
      <c r="I48" s="1"/>
    </row>
    <row r="49" spans="3:9" ht="21.95" customHeight="1">
      <c r="C49" s="1" t="s">
        <v>38</v>
      </c>
      <c r="D49" s="1"/>
      <c r="E49" s="1"/>
      <c r="F49" s="1"/>
      <c r="G49" s="1"/>
      <c r="H49" s="1"/>
      <c r="I49" s="1"/>
    </row>
    <row r="50" spans="3:9" ht="21.95" customHeight="1">
      <c r="C50" s="1"/>
      <c r="D50" s="1"/>
      <c r="E50" s="1"/>
      <c r="F50" s="1"/>
      <c r="G50" s="1"/>
      <c r="H50" s="1"/>
      <c r="I50" s="1"/>
    </row>
    <row r="51" spans="3:9" ht="21.95" customHeight="1">
      <c r="C51" s="1" t="s">
        <v>39</v>
      </c>
      <c r="D51" s="1"/>
      <c r="E51" s="1"/>
      <c r="F51" s="1"/>
      <c r="G51" s="1"/>
      <c r="H51" s="1"/>
      <c r="I51" s="1"/>
    </row>
    <row r="52" spans="3:9" ht="21.95" customHeight="1">
      <c r="C52" s="1"/>
      <c r="D52" s="1"/>
      <c r="E52" s="1"/>
      <c r="F52" s="1"/>
      <c r="G52" s="1"/>
      <c r="H52" s="1"/>
      <c r="I52" s="1"/>
    </row>
  </sheetData>
  <mergeCells count="1">
    <mergeCell ref="F32:I32"/>
  </mergeCells>
  <conditionalFormatting sqref="F16:I16">
    <cfRule type="cellIs" dxfId="10" priority="1" operator="lessThan">
      <formula>0</formula>
    </cfRule>
  </conditionalFormatting>
  <conditionalFormatting sqref="F17:I17">
    <cfRule type="cellIs" dxfId="9" priority="2" operator="lessThan">
      <formula>0</formula>
    </cfRule>
  </conditionalFormatting>
  <conditionalFormatting sqref="F18:I18">
    <cfRule type="cellIs" dxfId="8" priority="3" operator="lessThan">
      <formula>0</formula>
    </cfRule>
  </conditionalFormatting>
  <conditionalFormatting sqref="F33">
    <cfRule type="cellIs" dxfId="7" priority="4" operator="greaterThan">
      <formula>0</formula>
    </cfRule>
  </conditionalFormatting>
  <conditionalFormatting sqref="F21:F31">
    <cfRule type="cellIs" dxfId="6" priority="5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57F9C"/>
  </sheetPr>
  <dimension ref="C2:AC98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2" width="2" customWidth="1"/>
    <col min="3" max="3" width="46" customWidth="1"/>
    <col min="4" max="4" width="18" customWidth="1"/>
    <col min="5" max="5" width="22" customWidth="1"/>
    <col min="6" max="6" width="50" customWidth="1"/>
    <col min="7" max="29" width="16" customWidth="1"/>
  </cols>
  <sheetData>
    <row r="2" spans="3:29" ht="21.95" customHeight="1">
      <c r="C2" s="2" t="s">
        <v>40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3:29" ht="21.95" customHeight="1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3:29" ht="21.95" customHeight="1">
      <c r="C4" s="1" t="s">
        <v>1</v>
      </c>
      <c r="D4" s="5" t="str">
        <f>Параметры!E5</f>
        <v>Базовый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3:29" ht="21.95" customHeight="1">
      <c r="C5" s="1" t="s">
        <v>41</v>
      </c>
      <c r="D5" s="6">
        <v>1</v>
      </c>
      <c r="E5" s="7" t="str">
        <f>CHOOSE(D5,"Базовый","Неблагоприятный","Благоприятный")</f>
        <v>Базовый</v>
      </c>
      <c r="F5" s="1" t="s">
        <v>42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3:29" ht="21.95" customHeight="1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3:29" ht="21.95" customHeight="1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3:29" ht="21.95" customHeight="1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3:29" ht="21.95" customHeight="1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3:29" ht="21.95" customHeight="1">
      <c r="C10" s="8" t="s">
        <v>43</v>
      </c>
      <c r="D10" s="9">
        <f>CHOOSE($D$5,D11,D12,D13)</f>
        <v>60</v>
      </c>
      <c r="E10" s="8"/>
      <c r="F10" s="1" t="s">
        <v>44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3:29" ht="21.95" customHeight="1">
      <c r="C11" s="1" t="s">
        <v>45</v>
      </c>
      <c r="D11" s="6">
        <v>60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3:29" ht="21.95" customHeight="1">
      <c r="C12" s="1" t="s">
        <v>46</v>
      </c>
      <c r="D12" s="6">
        <v>48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3:29" ht="21.95" customHeight="1">
      <c r="C13" s="1" t="s">
        <v>47</v>
      </c>
      <c r="D13" s="6">
        <v>60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3:29" ht="21.95" customHeight="1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3:29" ht="21.95" customHeight="1">
      <c r="C15" s="8" t="s">
        <v>48</v>
      </c>
      <c r="D15" s="9">
        <f>CHOOSE($D$5,D16,D17,D18)</f>
        <v>3900</v>
      </c>
      <c r="E15" s="8"/>
      <c r="F15" s="1" t="s">
        <v>49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3:29" ht="21.95" customHeight="1">
      <c r="C16" s="1" t="s">
        <v>45</v>
      </c>
      <c r="D16" s="6">
        <v>3900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3:29" ht="21.95" customHeight="1">
      <c r="C17" s="1" t="s">
        <v>46</v>
      </c>
      <c r="D17" s="6">
        <v>3300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3:29" ht="21.95" customHeight="1">
      <c r="C18" s="1" t="s">
        <v>47</v>
      </c>
      <c r="D18" s="6">
        <v>4300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3:29" ht="21.95" customHeight="1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3:29" ht="21.95" customHeight="1">
      <c r="C20" s="8" t="s">
        <v>50</v>
      </c>
      <c r="D20" s="9">
        <f>CHOOSE($D$5,D21,D22,D23)</f>
        <v>12</v>
      </c>
      <c r="E20" s="8"/>
      <c r="F20" s="1" t="s">
        <v>51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3:29" ht="21.95" customHeight="1">
      <c r="C21" s="1" t="s">
        <v>45</v>
      </c>
      <c r="D21" s="6">
        <v>12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3:29" ht="21.95" customHeight="1">
      <c r="C22" s="1" t="s">
        <v>46</v>
      </c>
      <c r="D22" s="6">
        <v>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3:29" ht="21.95" customHeight="1">
      <c r="C23" s="1" t="s">
        <v>47</v>
      </c>
      <c r="D23" s="6">
        <v>18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3:29" ht="21.95" customHeight="1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3:29" ht="21.95" customHeight="1">
      <c r="C25" s="8" t="s">
        <v>52</v>
      </c>
      <c r="D25" s="10">
        <f>CHOOSE($D$5,D26,D27,D28)</f>
        <v>1</v>
      </c>
      <c r="E25" s="8"/>
      <c r="F25" s="1" t="s">
        <v>53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3:29" ht="21.95" customHeight="1">
      <c r="C26" s="1" t="s">
        <v>45</v>
      </c>
      <c r="D26" s="11">
        <v>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3:29" ht="21.95" customHeight="1">
      <c r="C27" s="1" t="s">
        <v>46</v>
      </c>
      <c r="D27" s="11">
        <v>1.1000000000000001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3:29" ht="21.95" customHeight="1">
      <c r="C28" s="1" t="s">
        <v>47</v>
      </c>
      <c r="D28" s="11">
        <v>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3:29" ht="21.95" customHeight="1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3:29" ht="21.95" customHeight="1">
      <c r="C30" s="8" t="s">
        <v>54</v>
      </c>
      <c r="D30" s="10">
        <f>CHOOSE($D$5,D31,D32,D33)</f>
        <v>1</v>
      </c>
      <c r="E30" s="8"/>
      <c r="F30" s="1" t="s">
        <v>55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3:29" ht="21.95" customHeight="1">
      <c r="C31" s="1" t="s">
        <v>45</v>
      </c>
      <c r="D31" s="11">
        <v>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3:29" ht="21.95" customHeight="1">
      <c r="C32" s="1" t="s">
        <v>46</v>
      </c>
      <c r="D32" s="11">
        <v>1.1499999999999999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3:29" ht="21.95" customHeight="1">
      <c r="C33" s="1" t="s">
        <v>47</v>
      </c>
      <c r="D33" s="11">
        <v>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3:29" ht="21.95" customHeight="1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3:29" ht="21.95" customHeight="1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3:29" ht="21.95" customHeight="1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3:29" ht="21.95" customHeight="1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3:29" ht="21.95" customHeight="1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3:29" ht="21.95" customHeight="1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3:29" ht="21.95" customHeight="1">
      <c r="C40" s="1" t="s">
        <v>56</v>
      </c>
      <c r="D40" s="12">
        <v>46569</v>
      </c>
      <c r="E40" s="1"/>
      <c r="F40" s="1" t="s">
        <v>57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3:29" ht="21.95" customHeight="1">
      <c r="C41" s="1" t="s">
        <v>58</v>
      </c>
      <c r="D41" s="13">
        <f>D64*D65</f>
        <v>1290170</v>
      </c>
      <c r="E41" s="1"/>
      <c r="F41" s="1" t="s">
        <v>59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3:29" ht="21.95" customHeight="1">
      <c r="C42" s="1" t="s">
        <v>60</v>
      </c>
      <c r="D42" s="6">
        <v>80000</v>
      </c>
      <c r="E42" s="1"/>
      <c r="F42" s="1" t="s">
        <v>61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3:29" ht="21.95" customHeight="1">
      <c r="C43" s="1" t="s">
        <v>62</v>
      </c>
      <c r="D43" s="6">
        <v>160</v>
      </c>
      <c r="E43" s="1"/>
      <c r="F43" s="1" t="s">
        <v>63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3:29" ht="21.95" customHeight="1">
      <c r="C44" s="1" t="s">
        <v>64</v>
      </c>
      <c r="D44" s="15">
        <v>0.15</v>
      </c>
      <c r="E44" s="1"/>
      <c r="F44" s="1" t="s">
        <v>65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3:29" ht="21.95" customHeight="1">
      <c r="C45" s="1" t="s">
        <v>66</v>
      </c>
      <c r="D45" s="15">
        <v>0.30199999999999999</v>
      </c>
      <c r="E45" s="1"/>
      <c r="F45" s="1" t="s">
        <v>67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3:29" ht="21.95" customHeight="1">
      <c r="C46" s="1" t="s">
        <v>68</v>
      </c>
      <c r="D46" s="6">
        <v>530</v>
      </c>
      <c r="E46" s="1"/>
      <c r="F46" s="1" t="s">
        <v>69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3:29" ht="21.95" customHeight="1">
      <c r="C47" s="1" t="s">
        <v>70</v>
      </c>
      <c r="D47" s="6">
        <v>3500</v>
      </c>
      <c r="E47" s="1"/>
      <c r="F47" s="1" t="s">
        <v>71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3:29" ht="21.95" customHeight="1">
      <c r="C48" s="1" t="s">
        <v>72</v>
      </c>
      <c r="D48" s="6">
        <v>550000</v>
      </c>
      <c r="E48" s="1"/>
      <c r="F48" s="1" t="s">
        <v>73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3:29" ht="21.95" customHeight="1">
      <c r="C49" s="1" t="s">
        <v>74</v>
      </c>
      <c r="D49" s="15">
        <v>0.01</v>
      </c>
      <c r="E49" s="1"/>
      <c r="F49" s="1" t="s">
        <v>75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3:29" ht="21.95" customHeight="1">
      <c r="C50" s="1" t="s">
        <v>76</v>
      </c>
      <c r="D50" s="15">
        <v>7.0000000000000007E-2</v>
      </c>
      <c r="E50" s="1"/>
      <c r="F50" s="1" t="s">
        <v>77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3:29" ht="21.95" customHeight="1">
      <c r="C51" s="1" t="s">
        <v>78</v>
      </c>
      <c r="D51" s="15">
        <v>0.06</v>
      </c>
      <c r="E51" s="1"/>
      <c r="F51" s="1" t="s">
        <v>75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3:29" ht="21.95" customHeight="1">
      <c r="C52" s="1" t="s">
        <v>79</v>
      </c>
      <c r="D52" s="15">
        <v>0.06</v>
      </c>
      <c r="E52" s="1"/>
      <c r="F52" s="1" t="s">
        <v>80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3:29" ht="21.95" customHeight="1">
      <c r="C53" s="1" t="s">
        <v>81</v>
      </c>
      <c r="D53" s="15">
        <v>0.05</v>
      </c>
      <c r="E53" s="1"/>
      <c r="F53" s="1" t="s">
        <v>82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3:29" ht="21.95" customHeight="1">
      <c r="C54" s="1" t="s">
        <v>83</v>
      </c>
      <c r="D54" s="15">
        <v>0.05</v>
      </c>
      <c r="E54" s="1"/>
      <c r="F54" s="1" t="s">
        <v>84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3:29" ht="21.95" customHeight="1">
      <c r="C55" s="1" t="s">
        <v>85</v>
      </c>
      <c r="D55" s="6">
        <v>20000000</v>
      </c>
      <c r="E55" s="1"/>
      <c r="F55" s="1" t="s">
        <v>86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3:29" ht="21.95" customHeight="1">
      <c r="C56" s="1" t="s">
        <v>87</v>
      </c>
      <c r="D56" s="15">
        <v>0.05</v>
      </c>
      <c r="E56" s="1"/>
      <c r="F56" s="1" t="s">
        <v>88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3:29" ht="21.95" customHeight="1">
      <c r="C57" s="1" t="s">
        <v>89</v>
      </c>
      <c r="D57" s="6">
        <v>0</v>
      </c>
      <c r="E57" s="1"/>
      <c r="F57" s="1" t="s">
        <v>90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3:29" ht="21.95" customHeight="1">
      <c r="C58" s="1" t="s">
        <v>91</v>
      </c>
      <c r="D58" s="15">
        <v>0.15</v>
      </c>
      <c r="E58" s="1"/>
      <c r="F58" s="1" t="s">
        <v>92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3:29" ht="21.95" customHeight="1">
      <c r="C59" s="1" t="s">
        <v>93</v>
      </c>
      <c r="D59" s="15">
        <v>0.01</v>
      </c>
      <c r="E59" s="1"/>
      <c r="F59" s="1" t="s">
        <v>94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3:29" ht="21.95" customHeight="1">
      <c r="C60" s="1" t="s">
        <v>95</v>
      </c>
      <c r="D60" s="6">
        <v>0</v>
      </c>
      <c r="E60" s="1"/>
      <c r="F60" s="1" t="s">
        <v>96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3:29" ht="21.95" customHeight="1">
      <c r="C61" s="1" t="s">
        <v>97</v>
      </c>
      <c r="D61" s="6">
        <v>0</v>
      </c>
      <c r="E61" s="1"/>
      <c r="F61" s="1" t="s">
        <v>98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3:29" ht="21.95" customHeight="1">
      <c r="C62" s="1" t="s">
        <v>99</v>
      </c>
      <c r="D62" s="6">
        <v>0</v>
      </c>
      <c r="E62" s="1"/>
      <c r="F62" s="1" t="s">
        <v>100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3:29" ht="21.95" customHeight="1">
      <c r="C63" s="1" t="s">
        <v>101</v>
      </c>
      <c r="D63" s="6">
        <v>8000000</v>
      </c>
      <c r="E63" s="1"/>
      <c r="F63" s="1" t="s">
        <v>102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3:29" ht="21.95" customHeight="1">
      <c r="C64" s="1" t="s">
        <v>103</v>
      </c>
      <c r="D64" s="14">
        <v>1843.1</v>
      </c>
      <c r="E64" s="1"/>
      <c r="F64" s="1" t="s">
        <v>104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3:29" ht="21.95" customHeight="1">
      <c r="C65" s="1" t="s">
        <v>105</v>
      </c>
      <c r="D65" s="6">
        <v>700</v>
      </c>
      <c r="E65" s="1"/>
      <c r="F65" s="1" t="s">
        <v>106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3:29" ht="21.95" customHeight="1">
      <c r="C66" s="1" t="s">
        <v>107</v>
      </c>
      <c r="D66" s="6">
        <v>300000</v>
      </c>
      <c r="E66" s="1"/>
      <c r="F66" s="1" t="s">
        <v>108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3:29" ht="21.95" customHeight="1">
      <c r="C67" s="1" t="s">
        <v>109</v>
      </c>
      <c r="D67" s="6">
        <v>0</v>
      </c>
      <c r="E67" s="1"/>
      <c r="F67" s="1" t="s">
        <v>110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3:29" ht="21.95" customHeight="1">
      <c r="C68" s="1" t="s">
        <v>111</v>
      </c>
      <c r="D68" s="6">
        <v>0</v>
      </c>
      <c r="E68" s="1"/>
      <c r="F68" s="1" t="s">
        <v>112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3:29" ht="21.95" customHeight="1">
      <c r="C69" s="1" t="s">
        <v>113</v>
      </c>
      <c r="D69" s="6">
        <v>0</v>
      </c>
      <c r="E69" s="1"/>
      <c r="F69" s="1" t="s">
        <v>114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3:29" ht="21.95" customHeight="1">
      <c r="C70" s="1" t="s">
        <v>115</v>
      </c>
      <c r="D70" s="6">
        <v>2</v>
      </c>
      <c r="E70" s="1"/>
      <c r="F70" s="1" t="s">
        <v>116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3:29" ht="21.95" customHeight="1">
      <c r="C71" s="1" t="s">
        <v>117</v>
      </c>
      <c r="D71" s="6">
        <v>24</v>
      </c>
      <c r="E71" s="1"/>
      <c r="F71" s="1" t="s">
        <v>118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3:29" ht="21.95" customHeight="1">
      <c r="C72" s="1" t="s">
        <v>119</v>
      </c>
      <c r="D72" s="6">
        <v>10</v>
      </c>
      <c r="E72" s="1"/>
      <c r="F72" s="1" t="s">
        <v>120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3:29" ht="21.95" customHeight="1">
      <c r="C73" s="1" t="s">
        <v>121</v>
      </c>
      <c r="D73" s="6">
        <v>20</v>
      </c>
      <c r="E73" s="1"/>
      <c r="F73" s="1" t="s">
        <v>120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3:29" ht="21.95" customHeight="1">
      <c r="C74" s="1" t="s">
        <v>122</v>
      </c>
      <c r="D74" s="6">
        <v>12</v>
      </c>
      <c r="E74" s="1"/>
      <c r="F74" s="1" t="s">
        <v>123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3:29" ht="21.95" customHeight="1">
      <c r="C75" s="1" t="s">
        <v>124</v>
      </c>
      <c r="D75" s="15">
        <v>0.1</v>
      </c>
      <c r="E75" s="1"/>
      <c r="F75" s="1" t="s">
        <v>125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3:29" ht="21.95" customHeight="1">
      <c r="C76" s="1" t="s">
        <v>126</v>
      </c>
      <c r="D76" s="6">
        <v>180000</v>
      </c>
      <c r="E76" s="1"/>
      <c r="F76" s="1" t="s">
        <v>127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3:29" ht="21.95" customHeight="1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3:29" ht="21.95" customHeight="1">
      <c r="C78" s="1" t="s">
        <v>128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3:29" ht="21.95" customHeight="1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3:29" ht="21.95" customHeight="1">
      <c r="C80" s="1" t="s">
        <v>129</v>
      </c>
      <c r="D80" s="1"/>
      <c r="E80" s="1"/>
      <c r="F80" s="1">
        <v>1</v>
      </c>
      <c r="G80" s="1">
        <v>2</v>
      </c>
      <c r="H80" s="1">
        <v>3</v>
      </c>
      <c r="I80" s="1">
        <v>4</v>
      </c>
      <c r="J80" s="1">
        <v>5</v>
      </c>
      <c r="K80" s="1">
        <v>6</v>
      </c>
      <c r="L80" s="1">
        <v>7</v>
      </c>
      <c r="M80" s="1">
        <v>8</v>
      </c>
      <c r="N80" s="1">
        <v>9</v>
      </c>
      <c r="O80" s="1">
        <v>10</v>
      </c>
      <c r="P80" s="1">
        <v>11</v>
      </c>
      <c r="Q80" s="1">
        <v>12</v>
      </c>
      <c r="R80" s="1">
        <v>13</v>
      </c>
      <c r="S80" s="1">
        <v>14</v>
      </c>
      <c r="T80" s="1">
        <v>15</v>
      </c>
      <c r="U80" s="1">
        <v>16</v>
      </c>
      <c r="V80" s="1">
        <v>17</v>
      </c>
      <c r="W80" s="1">
        <v>18</v>
      </c>
      <c r="X80" s="1">
        <v>19</v>
      </c>
      <c r="Y80" s="1">
        <v>20</v>
      </c>
      <c r="Z80" s="1">
        <v>21</v>
      </c>
      <c r="AA80" s="1">
        <v>22</v>
      </c>
      <c r="AB80" s="1">
        <v>23</v>
      </c>
      <c r="AC80" s="1">
        <v>24</v>
      </c>
    </row>
    <row r="81" spans="3:29" ht="21.95" customHeight="1">
      <c r="C81" s="1" t="s">
        <v>130</v>
      </c>
      <c r="D81" s="1"/>
      <c r="E81" s="1"/>
      <c r="F81" s="16">
        <f t="shared" ref="F81:AC81" si="0">EDATE($D$40,F80-1)</f>
        <v>46569</v>
      </c>
      <c r="G81" s="16">
        <f t="shared" si="0"/>
        <v>46600</v>
      </c>
      <c r="H81" s="16">
        <f t="shared" si="0"/>
        <v>46631</v>
      </c>
      <c r="I81" s="16">
        <f t="shared" si="0"/>
        <v>46661</v>
      </c>
      <c r="J81" s="16">
        <f t="shared" si="0"/>
        <v>46692</v>
      </c>
      <c r="K81" s="16">
        <f t="shared" si="0"/>
        <v>46722</v>
      </c>
      <c r="L81" s="16">
        <f t="shared" si="0"/>
        <v>46753</v>
      </c>
      <c r="M81" s="16">
        <f t="shared" si="0"/>
        <v>46784</v>
      </c>
      <c r="N81" s="16">
        <f t="shared" si="0"/>
        <v>46813</v>
      </c>
      <c r="O81" s="16">
        <f t="shared" si="0"/>
        <v>46844</v>
      </c>
      <c r="P81" s="16">
        <f t="shared" si="0"/>
        <v>46874</v>
      </c>
      <c r="Q81" s="16">
        <f t="shared" si="0"/>
        <v>46905</v>
      </c>
      <c r="R81" s="16">
        <f t="shared" si="0"/>
        <v>46935</v>
      </c>
      <c r="S81" s="16">
        <f t="shared" si="0"/>
        <v>46966</v>
      </c>
      <c r="T81" s="16">
        <f t="shared" si="0"/>
        <v>46997</v>
      </c>
      <c r="U81" s="16">
        <f t="shared" si="0"/>
        <v>47027</v>
      </c>
      <c r="V81" s="16">
        <f t="shared" si="0"/>
        <v>47058</v>
      </c>
      <c r="W81" s="16">
        <f t="shared" si="0"/>
        <v>47088</v>
      </c>
      <c r="X81" s="16">
        <f t="shared" si="0"/>
        <v>47119</v>
      </c>
      <c r="Y81" s="16">
        <f t="shared" si="0"/>
        <v>47150</v>
      </c>
      <c r="Z81" s="16">
        <f t="shared" si="0"/>
        <v>47178</v>
      </c>
      <c r="AA81" s="16">
        <f t="shared" si="0"/>
        <v>47209</v>
      </c>
      <c r="AB81" s="16">
        <f t="shared" si="0"/>
        <v>47239</v>
      </c>
      <c r="AC81" s="16">
        <f t="shared" si="0"/>
        <v>47270</v>
      </c>
    </row>
    <row r="82" spans="3:29" ht="21.95" customHeight="1">
      <c r="C82" s="1" t="s">
        <v>131</v>
      </c>
      <c r="D82" s="1"/>
      <c r="E82" s="1"/>
      <c r="F82" s="1">
        <f t="shared" ref="F82:AC82" si="1">CHOOSE($D$5,F83,F84,F85)</f>
        <v>18</v>
      </c>
      <c r="G82" s="1">
        <f t="shared" si="1"/>
        <v>24</v>
      </c>
      <c r="H82" s="1">
        <f t="shared" si="1"/>
        <v>30</v>
      </c>
      <c r="I82" s="1">
        <f t="shared" si="1"/>
        <v>34</v>
      </c>
      <c r="J82" s="1">
        <f t="shared" si="1"/>
        <v>38</v>
      </c>
      <c r="K82" s="1">
        <f t="shared" si="1"/>
        <v>42</v>
      </c>
      <c r="L82" s="1">
        <f t="shared" si="1"/>
        <v>45</v>
      </c>
      <c r="M82" s="1">
        <f t="shared" si="1"/>
        <v>48</v>
      </c>
      <c r="N82" s="1">
        <f t="shared" si="1"/>
        <v>50</v>
      </c>
      <c r="O82" s="1">
        <f t="shared" si="1"/>
        <v>52</v>
      </c>
      <c r="P82" s="1">
        <f t="shared" si="1"/>
        <v>54</v>
      </c>
      <c r="Q82" s="1">
        <f t="shared" si="1"/>
        <v>54</v>
      </c>
      <c r="R82" s="1">
        <f t="shared" si="1"/>
        <v>54</v>
      </c>
      <c r="S82" s="1">
        <f t="shared" si="1"/>
        <v>54</v>
      </c>
      <c r="T82" s="1">
        <f t="shared" si="1"/>
        <v>54</v>
      </c>
      <c r="U82" s="1">
        <f t="shared" si="1"/>
        <v>54</v>
      </c>
      <c r="V82" s="1">
        <f t="shared" si="1"/>
        <v>54</v>
      </c>
      <c r="W82" s="1">
        <f t="shared" si="1"/>
        <v>54</v>
      </c>
      <c r="X82" s="1">
        <f t="shared" si="1"/>
        <v>54</v>
      </c>
      <c r="Y82" s="1">
        <f t="shared" si="1"/>
        <v>54</v>
      </c>
      <c r="Z82" s="1">
        <f t="shared" si="1"/>
        <v>54</v>
      </c>
      <c r="AA82" s="1">
        <f t="shared" si="1"/>
        <v>54</v>
      </c>
      <c r="AB82" s="1">
        <f t="shared" si="1"/>
        <v>54</v>
      </c>
      <c r="AC82" s="1">
        <f t="shared" si="1"/>
        <v>54</v>
      </c>
    </row>
    <row r="83" spans="3:29" ht="21.95" customHeight="1">
      <c r="C83" s="1" t="s">
        <v>45</v>
      </c>
      <c r="D83" s="1"/>
      <c r="E83" s="1"/>
      <c r="F83" s="6">
        <v>18</v>
      </c>
      <c r="G83" s="6">
        <v>24</v>
      </c>
      <c r="H83" s="6">
        <v>30</v>
      </c>
      <c r="I83" s="6">
        <v>34</v>
      </c>
      <c r="J83" s="6">
        <v>38</v>
      </c>
      <c r="K83" s="6">
        <v>42</v>
      </c>
      <c r="L83" s="6">
        <v>45</v>
      </c>
      <c r="M83" s="6">
        <v>48</v>
      </c>
      <c r="N83" s="6">
        <v>50</v>
      </c>
      <c r="O83" s="6">
        <v>52</v>
      </c>
      <c r="P83" s="6">
        <v>54</v>
      </c>
      <c r="Q83" s="6">
        <v>54</v>
      </c>
      <c r="R83" s="6">
        <v>54</v>
      </c>
      <c r="S83" s="6">
        <v>54</v>
      </c>
      <c r="T83" s="6">
        <v>54</v>
      </c>
      <c r="U83" s="6">
        <v>54</v>
      </c>
      <c r="V83" s="6">
        <v>54</v>
      </c>
      <c r="W83" s="6">
        <v>54</v>
      </c>
      <c r="X83" s="6">
        <v>54</v>
      </c>
      <c r="Y83" s="6">
        <v>54</v>
      </c>
      <c r="Z83" s="6">
        <v>54</v>
      </c>
      <c r="AA83" s="6">
        <v>54</v>
      </c>
      <c r="AB83" s="6">
        <v>54</v>
      </c>
      <c r="AC83" s="6">
        <v>54</v>
      </c>
    </row>
    <row r="84" spans="3:29" ht="21.95" customHeight="1">
      <c r="C84" s="1" t="s">
        <v>46</v>
      </c>
      <c r="D84" s="1"/>
      <c r="E84" s="1"/>
      <c r="F84" s="6">
        <v>12</v>
      </c>
      <c r="G84" s="6">
        <v>16</v>
      </c>
      <c r="H84" s="6">
        <v>20</v>
      </c>
      <c r="I84" s="6">
        <v>23</v>
      </c>
      <c r="J84" s="6">
        <v>25</v>
      </c>
      <c r="K84" s="6">
        <v>27</v>
      </c>
      <c r="L84" s="6">
        <v>29</v>
      </c>
      <c r="M84" s="6">
        <v>31</v>
      </c>
      <c r="N84" s="6">
        <v>33</v>
      </c>
      <c r="O84" s="6">
        <v>35</v>
      </c>
      <c r="P84" s="6">
        <v>36</v>
      </c>
      <c r="Q84" s="6">
        <v>36</v>
      </c>
      <c r="R84" s="6">
        <v>36</v>
      </c>
      <c r="S84" s="6">
        <v>36</v>
      </c>
      <c r="T84" s="6">
        <v>36</v>
      </c>
      <c r="U84" s="6">
        <v>36</v>
      </c>
      <c r="V84" s="6">
        <v>36</v>
      </c>
      <c r="W84" s="6">
        <v>36</v>
      </c>
      <c r="X84" s="6">
        <v>36</v>
      </c>
      <c r="Y84" s="6">
        <v>36</v>
      </c>
      <c r="Z84" s="6">
        <v>36</v>
      </c>
      <c r="AA84" s="6">
        <v>36</v>
      </c>
      <c r="AB84" s="6">
        <v>36</v>
      </c>
      <c r="AC84" s="6">
        <v>36</v>
      </c>
    </row>
    <row r="85" spans="3:29" ht="21.95" customHeight="1">
      <c r="C85" s="1" t="s">
        <v>47</v>
      </c>
      <c r="D85" s="1"/>
      <c r="E85" s="1"/>
      <c r="F85" s="6">
        <v>24</v>
      </c>
      <c r="G85" s="6">
        <v>30</v>
      </c>
      <c r="H85" s="6">
        <v>36</v>
      </c>
      <c r="I85" s="6">
        <v>42</v>
      </c>
      <c r="J85" s="6">
        <v>46</v>
      </c>
      <c r="K85" s="6">
        <v>50</v>
      </c>
      <c r="L85" s="6">
        <v>53</v>
      </c>
      <c r="M85" s="6">
        <v>55</v>
      </c>
      <c r="N85" s="6">
        <v>56</v>
      </c>
      <c r="O85" s="6">
        <v>56</v>
      </c>
      <c r="P85" s="6">
        <v>57</v>
      </c>
      <c r="Q85" s="6">
        <v>57</v>
      </c>
      <c r="R85" s="6">
        <v>57</v>
      </c>
      <c r="S85" s="6">
        <v>57</v>
      </c>
      <c r="T85" s="6">
        <v>57</v>
      </c>
      <c r="U85" s="6">
        <v>57</v>
      </c>
      <c r="V85" s="6">
        <v>57</v>
      </c>
      <c r="W85" s="6">
        <v>57</v>
      </c>
      <c r="X85" s="6">
        <v>57</v>
      </c>
      <c r="Y85" s="6">
        <v>57</v>
      </c>
      <c r="Z85" s="6">
        <v>57</v>
      </c>
      <c r="AA85" s="6">
        <v>57</v>
      </c>
      <c r="AB85" s="6">
        <v>57</v>
      </c>
      <c r="AC85" s="6">
        <v>57</v>
      </c>
    </row>
    <row r="86" spans="3:29" ht="21.95" customHeight="1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3:29" ht="21.95" customHeight="1">
      <c r="C87" s="1" t="s">
        <v>132</v>
      </c>
      <c r="D87" s="1"/>
      <c r="E87" s="1"/>
      <c r="F87" s="1">
        <f t="shared" ref="F87:AC87" si="2">$D$67</f>
        <v>0</v>
      </c>
      <c r="G87" s="1">
        <f t="shared" si="2"/>
        <v>0</v>
      </c>
      <c r="H87" s="1">
        <f t="shared" si="2"/>
        <v>0</v>
      </c>
      <c r="I87" s="1">
        <f t="shared" si="2"/>
        <v>0</v>
      </c>
      <c r="J87" s="1">
        <f t="shared" si="2"/>
        <v>0</v>
      </c>
      <c r="K87" s="1">
        <f t="shared" si="2"/>
        <v>0</v>
      </c>
      <c r="L87" s="1">
        <f t="shared" si="2"/>
        <v>0</v>
      </c>
      <c r="M87" s="1">
        <f t="shared" si="2"/>
        <v>0</v>
      </c>
      <c r="N87" s="1">
        <f t="shared" si="2"/>
        <v>0</v>
      </c>
      <c r="O87" s="1">
        <f t="shared" si="2"/>
        <v>0</v>
      </c>
      <c r="P87" s="1">
        <f t="shared" si="2"/>
        <v>0</v>
      </c>
      <c r="Q87" s="1">
        <f t="shared" si="2"/>
        <v>0</v>
      </c>
      <c r="R87" s="1">
        <f t="shared" si="2"/>
        <v>0</v>
      </c>
      <c r="S87" s="1">
        <f t="shared" si="2"/>
        <v>0</v>
      </c>
      <c r="T87" s="1">
        <f t="shared" si="2"/>
        <v>0</v>
      </c>
      <c r="U87" s="1">
        <f t="shared" si="2"/>
        <v>0</v>
      </c>
      <c r="V87" s="1">
        <f t="shared" si="2"/>
        <v>0</v>
      </c>
      <c r="W87" s="1">
        <f t="shared" si="2"/>
        <v>0</v>
      </c>
      <c r="X87" s="1">
        <f t="shared" si="2"/>
        <v>0</v>
      </c>
      <c r="Y87" s="1">
        <f t="shared" si="2"/>
        <v>0</v>
      </c>
      <c r="Z87" s="1">
        <f t="shared" si="2"/>
        <v>0</v>
      </c>
      <c r="AA87" s="1">
        <f t="shared" si="2"/>
        <v>0</v>
      </c>
      <c r="AB87" s="1">
        <f t="shared" si="2"/>
        <v>0</v>
      </c>
      <c r="AC87" s="1">
        <f t="shared" si="2"/>
        <v>0</v>
      </c>
    </row>
    <row r="88" spans="3:29" ht="21.95" customHeight="1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3:29" ht="21.95" customHeight="1">
      <c r="C89" s="1" t="s">
        <v>133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3:29" ht="21.95" customHeight="1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3:29" ht="21.95" customHeight="1">
      <c r="C91" s="1" t="s">
        <v>134</v>
      </c>
      <c r="D91" s="1"/>
      <c r="E91" s="1"/>
      <c r="F91" s="1" t="s">
        <v>135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3:29" ht="21.95" customHeight="1">
      <c r="C92" s="1" t="s">
        <v>136</v>
      </c>
      <c r="D92" s="1"/>
      <c r="E92" s="1"/>
      <c r="F92" s="1" t="s">
        <v>137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3:29" ht="21.95" customHeight="1">
      <c r="C93" s="1" t="s">
        <v>138</v>
      </c>
      <c r="D93" s="1"/>
      <c r="E93" s="1"/>
      <c r="F93" s="1" t="s">
        <v>139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3:29" ht="21.95" customHeight="1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3:29" ht="21.95" customHeight="1">
      <c r="C95" s="1" t="s">
        <v>140</v>
      </c>
      <c r="D95" s="1"/>
      <c r="E95" s="1"/>
      <c r="F95" s="1" t="s">
        <v>141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3:29" ht="21.95" customHeight="1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3:29" ht="21.95" customHeight="1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3:29" ht="21.95" customHeight="1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</sheetData>
  <dataValidations count="2">
    <dataValidation type="whole" sqref="D5" xr:uid="{00000000-0002-0000-0100-000000000000}">
      <formula1>1</formula1>
      <formula2>3</formula2>
    </dataValidation>
    <dataValidation type="whole" sqref="D57 D69" xr:uid="{00000000-0002-0000-0100-000001000000}">
      <formula1>0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AC65"/>
  <sheetViews>
    <sheetView showGridLines="0" workbookViewId="0">
      <pane xSplit="5" ySplit="7" topLeftCell="F8" activePane="bottomRight" state="frozen"/>
      <selection pane="topRight"/>
      <selection pane="bottomLeft"/>
      <selection pane="bottomRight" activeCell="F8" sqref="F8"/>
    </sheetView>
  </sheetViews>
  <sheetFormatPr defaultRowHeight="14.25"/>
  <cols>
    <col min="1" max="2" width="2" customWidth="1"/>
    <col min="3" max="3" width="46" customWidth="1"/>
    <col min="4" max="5" width="2" customWidth="1"/>
    <col min="6" max="29" width="16" customWidth="1"/>
  </cols>
  <sheetData>
    <row r="2" spans="3:29" ht="21.95" customHeight="1">
      <c r="C2" s="2" t="s">
        <v>142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3:29" ht="21.95" customHeight="1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3:29" ht="21.95" customHeight="1">
      <c r="C4" s="1" t="s">
        <v>1</v>
      </c>
      <c r="E4" s="1"/>
      <c r="F4" s="4" t="str">
        <f>Параметры!E5</f>
        <v>Базовый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3:29" ht="21.95" customHeight="1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3:29" ht="21.95" customHeight="1">
      <c r="C6" s="1" t="s">
        <v>129</v>
      </c>
      <c r="D6" s="1"/>
      <c r="E6" s="1"/>
      <c r="F6" s="17">
        <f>1</f>
        <v>1</v>
      </c>
      <c r="G6" s="17">
        <f>2</f>
        <v>2</v>
      </c>
      <c r="H6" s="17">
        <f>3</f>
        <v>3</v>
      </c>
      <c r="I6" s="17">
        <f>4</f>
        <v>4</v>
      </c>
      <c r="J6" s="17">
        <f>5</f>
        <v>5</v>
      </c>
      <c r="K6" s="17">
        <f>6</f>
        <v>6</v>
      </c>
      <c r="L6" s="17">
        <f>7</f>
        <v>7</v>
      </c>
      <c r="M6" s="17">
        <f>8</f>
        <v>8</v>
      </c>
      <c r="N6" s="17">
        <f>9</f>
        <v>9</v>
      </c>
      <c r="O6" s="17">
        <f>10</f>
        <v>10</v>
      </c>
      <c r="P6" s="17">
        <f>11</f>
        <v>11</v>
      </c>
      <c r="Q6" s="17">
        <f>12</f>
        <v>12</v>
      </c>
      <c r="R6" s="17">
        <f>13</f>
        <v>13</v>
      </c>
      <c r="S6" s="17">
        <f>14</f>
        <v>14</v>
      </c>
      <c r="T6" s="17">
        <f>15</f>
        <v>15</v>
      </c>
      <c r="U6" s="17">
        <f>16</f>
        <v>16</v>
      </c>
      <c r="V6" s="17">
        <f>17</f>
        <v>17</v>
      </c>
      <c r="W6" s="17">
        <f>18</f>
        <v>18</v>
      </c>
      <c r="X6" s="17">
        <f>19</f>
        <v>19</v>
      </c>
      <c r="Y6" s="17">
        <f>20</f>
        <v>20</v>
      </c>
      <c r="Z6" s="17">
        <f>21</f>
        <v>21</v>
      </c>
      <c r="AA6" s="17">
        <f>22</f>
        <v>22</v>
      </c>
      <c r="AB6" s="17">
        <f>23</f>
        <v>23</v>
      </c>
      <c r="AC6" s="17">
        <f>24</f>
        <v>24</v>
      </c>
    </row>
    <row r="7" spans="3:29" ht="21.95" customHeight="1">
      <c r="C7" s="1" t="s">
        <v>130</v>
      </c>
      <c r="D7" s="1"/>
      <c r="E7" s="1"/>
      <c r="F7" s="27">
        <f>EDATE(Параметры!$D$40,F6-1)</f>
        <v>46569</v>
      </c>
      <c r="G7" s="27">
        <f>EDATE(Параметры!$D$40,G6-1)</f>
        <v>46600</v>
      </c>
      <c r="H7" s="27">
        <f>EDATE(Параметры!$D$40,H6-1)</f>
        <v>46631</v>
      </c>
      <c r="I7" s="27">
        <f>EDATE(Параметры!$D$40,I6-1)</f>
        <v>46661</v>
      </c>
      <c r="J7" s="27">
        <f>EDATE(Параметры!$D$40,J6-1)</f>
        <v>46692</v>
      </c>
      <c r="K7" s="27">
        <f>EDATE(Параметры!$D$40,K6-1)</f>
        <v>46722</v>
      </c>
      <c r="L7" s="27">
        <f>EDATE(Параметры!$D$40,L6-1)</f>
        <v>46753</v>
      </c>
      <c r="M7" s="27">
        <f>EDATE(Параметры!$D$40,M6-1)</f>
        <v>46784</v>
      </c>
      <c r="N7" s="27">
        <f>EDATE(Параметры!$D$40,N6-1)</f>
        <v>46813</v>
      </c>
      <c r="O7" s="27">
        <f>EDATE(Параметры!$D$40,O6-1)</f>
        <v>46844</v>
      </c>
      <c r="P7" s="27">
        <f>EDATE(Параметры!$D$40,P6-1)</f>
        <v>46874</v>
      </c>
      <c r="Q7" s="27">
        <f>EDATE(Параметры!$D$40,Q6-1)</f>
        <v>46905</v>
      </c>
      <c r="R7" s="27">
        <f>EDATE(Параметры!$D$40,R6-1)</f>
        <v>46935</v>
      </c>
      <c r="S7" s="27">
        <f>EDATE(Параметры!$D$40,S6-1)</f>
        <v>46966</v>
      </c>
      <c r="T7" s="27">
        <f>EDATE(Параметры!$D$40,T6-1)</f>
        <v>46997</v>
      </c>
      <c r="U7" s="27">
        <f>EDATE(Параметры!$D$40,U6-1)</f>
        <v>47027</v>
      </c>
      <c r="V7" s="27">
        <f>EDATE(Параметры!$D$40,V6-1)</f>
        <v>47058</v>
      </c>
      <c r="W7" s="27">
        <f>EDATE(Параметры!$D$40,W6-1)</f>
        <v>47088</v>
      </c>
      <c r="X7" s="27">
        <f>EDATE(Параметры!$D$40,X6-1)</f>
        <v>47119</v>
      </c>
      <c r="Y7" s="27">
        <f>EDATE(Параметры!$D$40,Y6-1)</f>
        <v>47150</v>
      </c>
      <c r="Z7" s="27">
        <f>EDATE(Параметры!$D$40,Z6-1)</f>
        <v>47178</v>
      </c>
      <c r="AA7" s="27">
        <f>EDATE(Параметры!$D$40,AA6-1)</f>
        <v>47209</v>
      </c>
      <c r="AB7" s="27">
        <f>EDATE(Параметры!$D$40,AB6-1)</f>
        <v>47239</v>
      </c>
      <c r="AC7" s="27">
        <f>EDATE(Параметры!$D$40,AC6-1)</f>
        <v>47270</v>
      </c>
    </row>
    <row r="8" spans="3:29" ht="21.95" customHeight="1">
      <c r="C8" s="1" t="s">
        <v>143</v>
      </c>
      <c r="D8" s="1"/>
      <c r="E8" s="1"/>
      <c r="F8" s="1">
        <f t="shared" ref="F8:AC8" si="0">DAY(EOMONTH(F7,0))</f>
        <v>31</v>
      </c>
      <c r="G8" s="1">
        <f t="shared" si="0"/>
        <v>31</v>
      </c>
      <c r="H8" s="1">
        <f t="shared" si="0"/>
        <v>30</v>
      </c>
      <c r="I8" s="1">
        <f t="shared" si="0"/>
        <v>31</v>
      </c>
      <c r="J8" s="1">
        <f t="shared" si="0"/>
        <v>30</v>
      </c>
      <c r="K8" s="1">
        <f t="shared" si="0"/>
        <v>31</v>
      </c>
      <c r="L8" s="1">
        <f t="shared" si="0"/>
        <v>31</v>
      </c>
      <c r="M8" s="1">
        <f t="shared" si="0"/>
        <v>29</v>
      </c>
      <c r="N8" s="1">
        <f t="shared" si="0"/>
        <v>31</v>
      </c>
      <c r="O8" s="1">
        <f t="shared" si="0"/>
        <v>30</v>
      </c>
      <c r="P8" s="1">
        <f t="shared" si="0"/>
        <v>31</v>
      </c>
      <c r="Q8" s="1">
        <f t="shared" si="0"/>
        <v>30</v>
      </c>
      <c r="R8" s="1">
        <f t="shared" si="0"/>
        <v>31</v>
      </c>
      <c r="S8" s="1">
        <f t="shared" si="0"/>
        <v>31</v>
      </c>
      <c r="T8" s="1">
        <f t="shared" si="0"/>
        <v>30</v>
      </c>
      <c r="U8" s="1">
        <f t="shared" si="0"/>
        <v>31</v>
      </c>
      <c r="V8" s="1">
        <f t="shared" si="0"/>
        <v>30</v>
      </c>
      <c r="W8" s="1">
        <f t="shared" si="0"/>
        <v>31</v>
      </c>
      <c r="X8" s="1">
        <f t="shared" si="0"/>
        <v>31</v>
      </c>
      <c r="Y8" s="1">
        <f t="shared" si="0"/>
        <v>28</v>
      </c>
      <c r="Z8" s="1">
        <f t="shared" si="0"/>
        <v>31</v>
      </c>
      <c r="AA8" s="1">
        <f t="shared" si="0"/>
        <v>30</v>
      </c>
      <c r="AB8" s="1">
        <f t="shared" si="0"/>
        <v>31</v>
      </c>
      <c r="AC8" s="1">
        <f t="shared" si="0"/>
        <v>30</v>
      </c>
    </row>
    <row r="9" spans="3:29" ht="21.95" customHeight="1">
      <c r="C9" s="1" t="s">
        <v>144</v>
      </c>
      <c r="D9" s="1"/>
      <c r="E9" s="1"/>
      <c r="F9" s="25">
        <f t="shared" ref="F9:AC9" si="1">YEAR(F7)</f>
        <v>2027</v>
      </c>
      <c r="G9" s="25">
        <f t="shared" si="1"/>
        <v>2027</v>
      </c>
      <c r="H9" s="25">
        <f t="shared" si="1"/>
        <v>2027</v>
      </c>
      <c r="I9" s="25">
        <f t="shared" si="1"/>
        <v>2027</v>
      </c>
      <c r="J9" s="25">
        <f t="shared" si="1"/>
        <v>2027</v>
      </c>
      <c r="K9" s="25">
        <f t="shared" si="1"/>
        <v>2027</v>
      </c>
      <c r="L9" s="25">
        <f t="shared" si="1"/>
        <v>2028</v>
      </c>
      <c r="M9" s="25">
        <f t="shared" si="1"/>
        <v>2028</v>
      </c>
      <c r="N9" s="25">
        <f t="shared" si="1"/>
        <v>2028</v>
      </c>
      <c r="O9" s="25">
        <f t="shared" si="1"/>
        <v>2028</v>
      </c>
      <c r="P9" s="25">
        <f t="shared" si="1"/>
        <v>2028</v>
      </c>
      <c r="Q9" s="25">
        <f t="shared" si="1"/>
        <v>2028</v>
      </c>
      <c r="R9" s="25">
        <f t="shared" si="1"/>
        <v>2028</v>
      </c>
      <c r="S9" s="25">
        <f t="shared" si="1"/>
        <v>2028</v>
      </c>
      <c r="T9" s="25">
        <f t="shared" si="1"/>
        <v>2028</v>
      </c>
      <c r="U9" s="25">
        <f t="shared" si="1"/>
        <v>2028</v>
      </c>
      <c r="V9" s="25">
        <f t="shared" si="1"/>
        <v>2028</v>
      </c>
      <c r="W9" s="25">
        <f t="shared" si="1"/>
        <v>2028</v>
      </c>
      <c r="X9" s="25">
        <f t="shared" si="1"/>
        <v>2029</v>
      </c>
      <c r="Y9" s="25">
        <f t="shared" si="1"/>
        <v>2029</v>
      </c>
      <c r="Z9" s="25">
        <f t="shared" si="1"/>
        <v>2029</v>
      </c>
      <c r="AA9" s="25">
        <f t="shared" si="1"/>
        <v>2029</v>
      </c>
      <c r="AB9" s="25">
        <f t="shared" si="1"/>
        <v>2029</v>
      </c>
      <c r="AC9" s="25">
        <f t="shared" si="1"/>
        <v>2029</v>
      </c>
    </row>
    <row r="10" spans="3:29" ht="21.95" customHeight="1">
      <c r="C10" s="1" t="s">
        <v>145</v>
      </c>
      <c r="D10" s="1"/>
      <c r="E10" s="1"/>
      <c r="F10" s="4">
        <f>Параметры!$D$10</f>
        <v>60</v>
      </c>
      <c r="G10" s="4">
        <f>Параметры!$D$10</f>
        <v>60</v>
      </c>
      <c r="H10" s="4">
        <f>Параметры!$D$10</f>
        <v>60</v>
      </c>
      <c r="I10" s="4">
        <f>Параметры!$D$10</f>
        <v>60</v>
      </c>
      <c r="J10" s="4">
        <f>Параметры!$D$10</f>
        <v>60</v>
      </c>
      <c r="K10" s="4">
        <f>Параметры!$D$10</f>
        <v>60</v>
      </c>
      <c r="L10" s="4">
        <f>Параметры!$D$10</f>
        <v>60</v>
      </c>
      <c r="M10" s="4">
        <f>Параметры!$D$10</f>
        <v>60</v>
      </c>
      <c r="N10" s="4">
        <f>Параметры!$D$10</f>
        <v>60</v>
      </c>
      <c r="O10" s="4">
        <f>Параметры!$D$10</f>
        <v>60</v>
      </c>
      <c r="P10" s="4">
        <f>Параметры!$D$10</f>
        <v>60</v>
      </c>
      <c r="Q10" s="4">
        <f>Параметры!$D$10</f>
        <v>60</v>
      </c>
      <c r="R10" s="4">
        <f>Параметры!$D$10</f>
        <v>60</v>
      </c>
      <c r="S10" s="4">
        <f>Параметры!$D$10</f>
        <v>60</v>
      </c>
      <c r="T10" s="4">
        <f>Параметры!$D$10</f>
        <v>60</v>
      </c>
      <c r="U10" s="4">
        <f>Параметры!$D$10</f>
        <v>60</v>
      </c>
      <c r="V10" s="4">
        <f>Параметры!$D$10</f>
        <v>60</v>
      </c>
      <c r="W10" s="4">
        <f>Параметры!$D$10</f>
        <v>60</v>
      </c>
      <c r="X10" s="4">
        <f>Параметры!$D$10</f>
        <v>60</v>
      </c>
      <c r="Y10" s="4">
        <f>Параметры!$D$10</f>
        <v>60</v>
      </c>
      <c r="Z10" s="4">
        <f>Параметры!$D$10</f>
        <v>60</v>
      </c>
      <c r="AA10" s="4">
        <f>Параметры!$D$10</f>
        <v>60</v>
      </c>
      <c r="AB10" s="4">
        <f>Параметры!$D$10</f>
        <v>60</v>
      </c>
      <c r="AC10" s="4">
        <f>Параметры!$D$10</f>
        <v>60</v>
      </c>
    </row>
    <row r="11" spans="3:29" ht="21.95" customHeight="1">
      <c r="C11" s="1" t="s">
        <v>146</v>
      </c>
      <c r="D11" s="1"/>
      <c r="E11" s="1"/>
      <c r="F11" s="4">
        <f>Параметры!$D$20</f>
        <v>12</v>
      </c>
      <c r="G11" s="1">
        <f t="shared" ref="G11:AC11" si="2">F12</f>
        <v>18</v>
      </c>
      <c r="H11" s="1">
        <f t="shared" si="2"/>
        <v>24</v>
      </c>
      <c r="I11" s="1">
        <f t="shared" si="2"/>
        <v>30</v>
      </c>
      <c r="J11" s="1">
        <f t="shared" si="2"/>
        <v>34</v>
      </c>
      <c r="K11" s="1">
        <f t="shared" si="2"/>
        <v>38</v>
      </c>
      <c r="L11" s="1">
        <f t="shared" si="2"/>
        <v>42</v>
      </c>
      <c r="M11" s="1">
        <f t="shared" si="2"/>
        <v>45</v>
      </c>
      <c r="N11" s="1">
        <f t="shared" si="2"/>
        <v>48</v>
      </c>
      <c r="O11" s="1">
        <f t="shared" si="2"/>
        <v>50</v>
      </c>
      <c r="P11" s="1">
        <f t="shared" si="2"/>
        <v>52</v>
      </c>
      <c r="Q11" s="1">
        <f t="shared" si="2"/>
        <v>54</v>
      </c>
      <c r="R11" s="1">
        <f t="shared" si="2"/>
        <v>54</v>
      </c>
      <c r="S11" s="1">
        <f t="shared" si="2"/>
        <v>54</v>
      </c>
      <c r="T11" s="1">
        <f t="shared" si="2"/>
        <v>54</v>
      </c>
      <c r="U11" s="1">
        <f t="shared" si="2"/>
        <v>54</v>
      </c>
      <c r="V11" s="1">
        <f t="shared" si="2"/>
        <v>54</v>
      </c>
      <c r="W11" s="1">
        <f t="shared" si="2"/>
        <v>54</v>
      </c>
      <c r="X11" s="1">
        <f t="shared" si="2"/>
        <v>54</v>
      </c>
      <c r="Y11" s="1">
        <f t="shared" si="2"/>
        <v>54</v>
      </c>
      <c r="Z11" s="1">
        <f t="shared" si="2"/>
        <v>54</v>
      </c>
      <c r="AA11" s="1">
        <f t="shared" si="2"/>
        <v>54</v>
      </c>
      <c r="AB11" s="1">
        <f t="shared" si="2"/>
        <v>54</v>
      </c>
      <c r="AC11" s="1">
        <f t="shared" si="2"/>
        <v>54</v>
      </c>
    </row>
    <row r="12" spans="3:29" ht="21.95" customHeight="1">
      <c r="C12" s="1" t="s">
        <v>147</v>
      </c>
      <c r="D12" s="1"/>
      <c r="E12" s="1"/>
      <c r="F12" s="4">
        <f>MIN(F10,Параметры!F82)</f>
        <v>18</v>
      </c>
      <c r="G12" s="4">
        <f>MIN(G10,Параметры!G82)</f>
        <v>24</v>
      </c>
      <c r="H12" s="4">
        <f>MIN(H10,Параметры!H82)</f>
        <v>30</v>
      </c>
      <c r="I12" s="4">
        <f>MIN(I10,Параметры!I82)</f>
        <v>34</v>
      </c>
      <c r="J12" s="4">
        <f>MIN(J10,Параметры!J82)</f>
        <v>38</v>
      </c>
      <c r="K12" s="4">
        <f>MIN(K10,Параметры!K82)</f>
        <v>42</v>
      </c>
      <c r="L12" s="4">
        <f>MIN(L10,Параметры!L82)</f>
        <v>45</v>
      </c>
      <c r="M12" s="4">
        <f>MIN(M10,Параметры!M82)</f>
        <v>48</v>
      </c>
      <c r="N12" s="4">
        <f>MIN(N10,Параметры!N82)</f>
        <v>50</v>
      </c>
      <c r="O12" s="4">
        <f>MIN(O10,Параметры!O82)</f>
        <v>52</v>
      </c>
      <c r="P12" s="4">
        <f>MIN(P10,Параметры!P82)</f>
        <v>54</v>
      </c>
      <c r="Q12" s="4">
        <f>MIN(Q10,Параметры!Q82)</f>
        <v>54</v>
      </c>
      <c r="R12" s="4">
        <f>MIN(R10,Параметры!R82)</f>
        <v>54</v>
      </c>
      <c r="S12" s="4">
        <f>MIN(S10,Параметры!S82)</f>
        <v>54</v>
      </c>
      <c r="T12" s="4">
        <f>MIN(T10,Параметры!T82)</f>
        <v>54</v>
      </c>
      <c r="U12" s="4">
        <f>MIN(U10,Параметры!U82)</f>
        <v>54</v>
      </c>
      <c r="V12" s="4">
        <f>MIN(V10,Параметры!V82)</f>
        <v>54</v>
      </c>
      <c r="W12" s="4">
        <f>MIN(W10,Параметры!W82)</f>
        <v>54</v>
      </c>
      <c r="X12" s="4">
        <f>MIN(X10,Параметры!X82)</f>
        <v>54</v>
      </c>
      <c r="Y12" s="4">
        <f>MIN(Y10,Параметры!Y82)</f>
        <v>54</v>
      </c>
      <c r="Z12" s="4">
        <f>MIN(Z10,Параметры!Z82)</f>
        <v>54</v>
      </c>
      <c r="AA12" s="4">
        <f>MIN(AA10,Параметры!AA82)</f>
        <v>54</v>
      </c>
      <c r="AB12" s="4">
        <f>MIN(AB10,Параметры!AB82)</f>
        <v>54</v>
      </c>
      <c r="AC12" s="4">
        <f>MIN(AC10,Параметры!AC82)</f>
        <v>54</v>
      </c>
    </row>
    <row r="13" spans="3:29" ht="21.95" customHeight="1">
      <c r="C13" s="1" t="s">
        <v>3</v>
      </c>
      <c r="D13" s="1"/>
      <c r="E13" s="1"/>
      <c r="F13" s="18">
        <f t="shared" ref="F13:AC13" si="3">AVERAGE(F11:F12)</f>
        <v>15</v>
      </c>
      <c r="G13" s="18">
        <f t="shared" si="3"/>
        <v>21</v>
      </c>
      <c r="H13" s="18">
        <f t="shared" si="3"/>
        <v>27</v>
      </c>
      <c r="I13" s="18">
        <f t="shared" si="3"/>
        <v>32</v>
      </c>
      <c r="J13" s="18">
        <f t="shared" si="3"/>
        <v>36</v>
      </c>
      <c r="K13" s="18">
        <f t="shared" si="3"/>
        <v>40</v>
      </c>
      <c r="L13" s="18">
        <f t="shared" si="3"/>
        <v>43.5</v>
      </c>
      <c r="M13" s="18">
        <f t="shared" si="3"/>
        <v>46.5</v>
      </c>
      <c r="N13" s="18">
        <f t="shared" si="3"/>
        <v>49</v>
      </c>
      <c r="O13" s="18">
        <f t="shared" si="3"/>
        <v>51</v>
      </c>
      <c r="P13" s="18">
        <f t="shared" si="3"/>
        <v>53</v>
      </c>
      <c r="Q13" s="18">
        <f t="shared" si="3"/>
        <v>54</v>
      </c>
      <c r="R13" s="18">
        <f t="shared" si="3"/>
        <v>54</v>
      </c>
      <c r="S13" s="18">
        <f t="shared" si="3"/>
        <v>54</v>
      </c>
      <c r="T13" s="18">
        <f t="shared" si="3"/>
        <v>54</v>
      </c>
      <c r="U13" s="18">
        <f t="shared" si="3"/>
        <v>54</v>
      </c>
      <c r="V13" s="18">
        <f t="shared" si="3"/>
        <v>54</v>
      </c>
      <c r="W13" s="18">
        <f t="shared" si="3"/>
        <v>54</v>
      </c>
      <c r="X13" s="18">
        <f t="shared" si="3"/>
        <v>54</v>
      </c>
      <c r="Y13" s="18">
        <f t="shared" si="3"/>
        <v>54</v>
      </c>
      <c r="Z13" s="18">
        <f t="shared" si="3"/>
        <v>54</v>
      </c>
      <c r="AA13" s="18">
        <f t="shared" si="3"/>
        <v>54</v>
      </c>
      <c r="AB13" s="18">
        <f t="shared" si="3"/>
        <v>54</v>
      </c>
      <c r="AC13" s="18">
        <f t="shared" si="3"/>
        <v>54</v>
      </c>
    </row>
    <row r="14" spans="3:29" ht="21.95" customHeight="1">
      <c r="C14" s="30" t="s">
        <v>148</v>
      </c>
      <c r="D14" s="30"/>
      <c r="E14" s="30"/>
      <c r="F14" s="31">
        <f t="shared" ref="F14:AC14" si="4">F13/F10</f>
        <v>0.25</v>
      </c>
      <c r="G14" s="31">
        <f t="shared" si="4"/>
        <v>0.35</v>
      </c>
      <c r="H14" s="31">
        <f t="shared" si="4"/>
        <v>0.45</v>
      </c>
      <c r="I14" s="31">
        <f t="shared" si="4"/>
        <v>0.53333333333333333</v>
      </c>
      <c r="J14" s="31">
        <f t="shared" si="4"/>
        <v>0.6</v>
      </c>
      <c r="K14" s="31">
        <f t="shared" si="4"/>
        <v>0.66666666666666663</v>
      </c>
      <c r="L14" s="31">
        <f t="shared" si="4"/>
        <v>0.72499999999999998</v>
      </c>
      <c r="M14" s="31">
        <f t="shared" si="4"/>
        <v>0.77500000000000002</v>
      </c>
      <c r="N14" s="31">
        <f t="shared" si="4"/>
        <v>0.81666666666666665</v>
      </c>
      <c r="O14" s="31">
        <f t="shared" si="4"/>
        <v>0.85</v>
      </c>
      <c r="P14" s="31">
        <f t="shared" si="4"/>
        <v>0.8833333333333333</v>
      </c>
      <c r="Q14" s="31">
        <f t="shared" si="4"/>
        <v>0.9</v>
      </c>
      <c r="R14" s="31">
        <f t="shared" si="4"/>
        <v>0.9</v>
      </c>
      <c r="S14" s="31">
        <f t="shared" si="4"/>
        <v>0.9</v>
      </c>
      <c r="T14" s="31">
        <f t="shared" si="4"/>
        <v>0.9</v>
      </c>
      <c r="U14" s="31">
        <f t="shared" si="4"/>
        <v>0.9</v>
      </c>
      <c r="V14" s="31">
        <f t="shared" si="4"/>
        <v>0.9</v>
      </c>
      <c r="W14" s="31">
        <f t="shared" si="4"/>
        <v>0.9</v>
      </c>
      <c r="X14" s="31">
        <f t="shared" si="4"/>
        <v>0.9</v>
      </c>
      <c r="Y14" s="31">
        <f t="shared" si="4"/>
        <v>0.9</v>
      </c>
      <c r="Z14" s="31">
        <f t="shared" si="4"/>
        <v>0.9</v>
      </c>
      <c r="AA14" s="31">
        <f t="shared" si="4"/>
        <v>0.9</v>
      </c>
      <c r="AB14" s="31">
        <f t="shared" si="4"/>
        <v>0.9</v>
      </c>
      <c r="AC14" s="31">
        <f t="shared" si="4"/>
        <v>0.9</v>
      </c>
    </row>
    <row r="15" spans="3:29" ht="21.95" customHeight="1">
      <c r="C15" s="1" t="s">
        <v>149</v>
      </c>
      <c r="D15" s="1"/>
      <c r="E15" s="1"/>
      <c r="F15" s="1">
        <f t="shared" ref="F15:AC15" si="5">MAX(F11:F12)</f>
        <v>18</v>
      </c>
      <c r="G15" s="1">
        <f t="shared" si="5"/>
        <v>24</v>
      </c>
      <c r="H15" s="1">
        <f t="shared" si="5"/>
        <v>30</v>
      </c>
      <c r="I15" s="1">
        <f t="shared" si="5"/>
        <v>34</v>
      </c>
      <c r="J15" s="1">
        <f t="shared" si="5"/>
        <v>38</v>
      </c>
      <c r="K15" s="1">
        <f t="shared" si="5"/>
        <v>42</v>
      </c>
      <c r="L15" s="1">
        <f t="shared" si="5"/>
        <v>45</v>
      </c>
      <c r="M15" s="1">
        <f t="shared" si="5"/>
        <v>48</v>
      </c>
      <c r="N15" s="1">
        <f t="shared" si="5"/>
        <v>50</v>
      </c>
      <c r="O15" s="1">
        <f t="shared" si="5"/>
        <v>52</v>
      </c>
      <c r="P15" s="1">
        <f t="shared" si="5"/>
        <v>54</v>
      </c>
      <c r="Q15" s="1">
        <f t="shared" si="5"/>
        <v>54</v>
      </c>
      <c r="R15" s="1">
        <f t="shared" si="5"/>
        <v>54</v>
      </c>
      <c r="S15" s="1">
        <f t="shared" si="5"/>
        <v>54</v>
      </c>
      <c r="T15" s="1">
        <f t="shared" si="5"/>
        <v>54</v>
      </c>
      <c r="U15" s="1">
        <f t="shared" si="5"/>
        <v>54</v>
      </c>
      <c r="V15" s="1">
        <f t="shared" si="5"/>
        <v>54</v>
      </c>
      <c r="W15" s="1">
        <f t="shared" si="5"/>
        <v>54</v>
      </c>
      <c r="X15" s="1">
        <f t="shared" si="5"/>
        <v>54</v>
      </c>
      <c r="Y15" s="1">
        <f t="shared" si="5"/>
        <v>54</v>
      </c>
      <c r="Z15" s="1">
        <f t="shared" si="5"/>
        <v>54</v>
      </c>
      <c r="AA15" s="1">
        <f t="shared" si="5"/>
        <v>54</v>
      </c>
      <c r="AB15" s="1">
        <f t="shared" si="5"/>
        <v>54</v>
      </c>
      <c r="AC15" s="1">
        <f t="shared" si="5"/>
        <v>54</v>
      </c>
    </row>
    <row r="16" spans="3:29" ht="21.95" customHeight="1">
      <c r="C16" s="1" t="s">
        <v>150</v>
      </c>
      <c r="D16" s="1"/>
      <c r="E16" s="1"/>
      <c r="F16" s="28">
        <f>F11*Параметры!$D$54</f>
        <v>0.60000000000000009</v>
      </c>
      <c r="G16" s="28">
        <f>G11*Параметры!$D$54</f>
        <v>0.9</v>
      </c>
      <c r="H16" s="28">
        <f>H11*Параметры!$D$54</f>
        <v>1.2000000000000002</v>
      </c>
      <c r="I16" s="28">
        <f>I11*Параметры!$D$54</f>
        <v>1.5</v>
      </c>
      <c r="J16" s="28">
        <f>J11*Параметры!$D$54</f>
        <v>1.7000000000000002</v>
      </c>
      <c r="K16" s="28">
        <f>K11*Параметры!$D$54</f>
        <v>1.9000000000000001</v>
      </c>
      <c r="L16" s="28">
        <f>L11*Параметры!$D$54</f>
        <v>2.1</v>
      </c>
      <c r="M16" s="28">
        <f>M11*Параметры!$D$54</f>
        <v>2.25</v>
      </c>
      <c r="N16" s="28">
        <f>N11*Параметры!$D$54</f>
        <v>2.4000000000000004</v>
      </c>
      <c r="O16" s="28">
        <f>O11*Параметры!$D$54</f>
        <v>2.5</v>
      </c>
      <c r="P16" s="28">
        <f>P11*Параметры!$D$54</f>
        <v>2.6</v>
      </c>
      <c r="Q16" s="28">
        <f>Q11*Параметры!$D$54</f>
        <v>2.7</v>
      </c>
      <c r="R16" s="28">
        <f>R11*Параметры!$D$54</f>
        <v>2.7</v>
      </c>
      <c r="S16" s="28">
        <f>S11*Параметры!$D$54</f>
        <v>2.7</v>
      </c>
      <c r="T16" s="28">
        <f>T11*Параметры!$D$54</f>
        <v>2.7</v>
      </c>
      <c r="U16" s="28">
        <f>U11*Параметры!$D$54</f>
        <v>2.7</v>
      </c>
      <c r="V16" s="28">
        <f>V11*Параметры!$D$54</f>
        <v>2.7</v>
      </c>
      <c r="W16" s="28">
        <f>W11*Параметры!$D$54</f>
        <v>2.7</v>
      </c>
      <c r="X16" s="28">
        <f>X11*Параметры!$D$54</f>
        <v>2.7</v>
      </c>
      <c r="Y16" s="28">
        <f>Y11*Параметры!$D$54</f>
        <v>2.7</v>
      </c>
      <c r="Z16" s="28">
        <f>Z11*Параметры!$D$54</f>
        <v>2.7</v>
      </c>
      <c r="AA16" s="28">
        <f>AA11*Параметры!$D$54</f>
        <v>2.7</v>
      </c>
      <c r="AB16" s="28">
        <f>AB11*Параметры!$D$54</f>
        <v>2.7</v>
      </c>
      <c r="AC16" s="28">
        <f>AC11*Параметры!$D$54</f>
        <v>2.7</v>
      </c>
    </row>
    <row r="17" spans="3:29" ht="21.95" customHeight="1">
      <c r="C17" s="1" t="s">
        <v>151</v>
      </c>
      <c r="D17" s="1"/>
      <c r="E17" s="1"/>
      <c r="F17" s="18">
        <f t="shared" ref="F17:AC17" si="6">F12-F11+F16</f>
        <v>6.6</v>
      </c>
      <c r="G17" s="18">
        <f t="shared" si="6"/>
        <v>6.9</v>
      </c>
      <c r="H17" s="18">
        <f t="shared" si="6"/>
        <v>7.2</v>
      </c>
      <c r="I17" s="18">
        <f t="shared" si="6"/>
        <v>5.5</v>
      </c>
      <c r="J17" s="18">
        <f t="shared" si="6"/>
        <v>5.7</v>
      </c>
      <c r="K17" s="18">
        <f t="shared" si="6"/>
        <v>5.9</v>
      </c>
      <c r="L17" s="18">
        <f t="shared" si="6"/>
        <v>5.0999999999999996</v>
      </c>
      <c r="M17" s="18">
        <f t="shared" si="6"/>
        <v>5.25</v>
      </c>
      <c r="N17" s="18">
        <f t="shared" si="6"/>
        <v>4.4000000000000004</v>
      </c>
      <c r="O17" s="18">
        <f t="shared" si="6"/>
        <v>4.5</v>
      </c>
      <c r="P17" s="18">
        <f t="shared" si="6"/>
        <v>4.5999999999999996</v>
      </c>
      <c r="Q17" s="18">
        <f t="shared" si="6"/>
        <v>2.7</v>
      </c>
      <c r="R17" s="18">
        <f t="shared" si="6"/>
        <v>2.7</v>
      </c>
      <c r="S17" s="18">
        <f t="shared" si="6"/>
        <v>2.7</v>
      </c>
      <c r="T17" s="18">
        <f t="shared" si="6"/>
        <v>2.7</v>
      </c>
      <c r="U17" s="18">
        <f t="shared" si="6"/>
        <v>2.7</v>
      </c>
      <c r="V17" s="18">
        <f t="shared" si="6"/>
        <v>2.7</v>
      </c>
      <c r="W17" s="18">
        <f t="shared" si="6"/>
        <v>2.7</v>
      </c>
      <c r="X17" s="18">
        <f t="shared" si="6"/>
        <v>2.7</v>
      </c>
      <c r="Y17" s="18">
        <f t="shared" si="6"/>
        <v>2.7</v>
      </c>
      <c r="Z17" s="18">
        <f t="shared" si="6"/>
        <v>2.7</v>
      </c>
      <c r="AA17" s="18">
        <f t="shared" si="6"/>
        <v>2.7</v>
      </c>
      <c r="AB17" s="18">
        <f t="shared" si="6"/>
        <v>2.7</v>
      </c>
      <c r="AC17" s="18">
        <f t="shared" si="6"/>
        <v>2.7</v>
      </c>
    </row>
    <row r="18" spans="3:29" ht="21.95" customHeight="1">
      <c r="C18" s="1" t="s">
        <v>152</v>
      </c>
      <c r="D18" s="1"/>
      <c r="E18" s="1"/>
      <c r="F18" s="28">
        <f>F17/Параметры!$D$75</f>
        <v>65.999999999999986</v>
      </c>
      <c r="G18" s="28">
        <f>G17/Параметры!$D$75</f>
        <v>69</v>
      </c>
      <c r="H18" s="28">
        <f>H17/Параметры!$D$75</f>
        <v>72</v>
      </c>
      <c r="I18" s="28">
        <f>I17/Параметры!$D$75</f>
        <v>55</v>
      </c>
      <c r="J18" s="28">
        <f>J17/Параметры!$D$75</f>
        <v>57</v>
      </c>
      <c r="K18" s="28">
        <f>K17/Параметры!$D$75</f>
        <v>59</v>
      </c>
      <c r="L18" s="28">
        <f>L17/Параметры!$D$75</f>
        <v>50.999999999999993</v>
      </c>
      <c r="M18" s="28">
        <f>M17/Параметры!$D$75</f>
        <v>52.5</v>
      </c>
      <c r="N18" s="28">
        <f>N17/Параметры!$D$75</f>
        <v>44</v>
      </c>
      <c r="O18" s="28">
        <f>O17/Параметры!$D$75</f>
        <v>45</v>
      </c>
      <c r="P18" s="28">
        <f>P17/Параметры!$D$75</f>
        <v>45.999999999999993</v>
      </c>
      <c r="Q18" s="28">
        <f>Q17/Параметры!$D$75</f>
        <v>27</v>
      </c>
      <c r="R18" s="28">
        <f>R17/Параметры!$D$75</f>
        <v>27</v>
      </c>
      <c r="S18" s="28">
        <f>S17/Параметры!$D$75</f>
        <v>27</v>
      </c>
      <c r="T18" s="28">
        <f>T17/Параметры!$D$75</f>
        <v>27</v>
      </c>
      <c r="U18" s="28">
        <f>U17/Параметры!$D$75</f>
        <v>27</v>
      </c>
      <c r="V18" s="28">
        <f>V17/Параметры!$D$75</f>
        <v>27</v>
      </c>
      <c r="W18" s="28">
        <f>W17/Параметры!$D$75</f>
        <v>27</v>
      </c>
      <c r="X18" s="28">
        <f>X17/Параметры!$D$75</f>
        <v>27</v>
      </c>
      <c r="Y18" s="28">
        <f>Y17/Параметры!$D$75</f>
        <v>27</v>
      </c>
      <c r="Z18" s="28">
        <f>Z17/Параметры!$D$75</f>
        <v>27</v>
      </c>
      <c r="AA18" s="28">
        <f>AA17/Параметры!$D$75</f>
        <v>27</v>
      </c>
      <c r="AB18" s="28">
        <f>AB17/Параметры!$D$75</f>
        <v>27</v>
      </c>
      <c r="AC18" s="28">
        <f>AC17/Параметры!$D$75</f>
        <v>27</v>
      </c>
    </row>
    <row r="19" spans="3:29" ht="21.95" customHeight="1">
      <c r="C19" s="1" t="s">
        <v>153</v>
      </c>
      <c r="D19" s="1"/>
      <c r="E19" s="1"/>
      <c r="F19" s="4">
        <f>Параметры!$D$15*(1+Параметры!$D$51)^INT((F6-1)/12)</f>
        <v>3900</v>
      </c>
      <c r="G19" s="4">
        <f>Параметры!$D$15*(1+Параметры!$D$51)^INT((G6-1)/12)</f>
        <v>3900</v>
      </c>
      <c r="H19" s="4">
        <f>Параметры!$D$15*(1+Параметры!$D$51)^INT((H6-1)/12)</f>
        <v>3900</v>
      </c>
      <c r="I19" s="4">
        <f>Параметры!$D$15*(1+Параметры!$D$51)^INT((I6-1)/12)</f>
        <v>3900</v>
      </c>
      <c r="J19" s="4">
        <f>Параметры!$D$15*(1+Параметры!$D$51)^INT((J6-1)/12)</f>
        <v>3900</v>
      </c>
      <c r="K19" s="4">
        <f>Параметры!$D$15*(1+Параметры!$D$51)^INT((K6-1)/12)</f>
        <v>3900</v>
      </c>
      <c r="L19" s="4">
        <f>Параметры!$D$15*(1+Параметры!$D$51)^INT((L6-1)/12)</f>
        <v>3900</v>
      </c>
      <c r="M19" s="4">
        <f>Параметры!$D$15*(1+Параметры!$D$51)^INT((M6-1)/12)</f>
        <v>3900</v>
      </c>
      <c r="N19" s="4">
        <f>Параметры!$D$15*(1+Параметры!$D$51)^INT((N6-1)/12)</f>
        <v>3900</v>
      </c>
      <c r="O19" s="4">
        <f>Параметры!$D$15*(1+Параметры!$D$51)^INT((O6-1)/12)</f>
        <v>3900</v>
      </c>
      <c r="P19" s="4">
        <f>Параметры!$D$15*(1+Параметры!$D$51)^INT((P6-1)/12)</f>
        <v>3900</v>
      </c>
      <c r="Q19" s="4">
        <f>Параметры!$D$15*(1+Параметры!$D$51)^INT((Q6-1)/12)</f>
        <v>3900</v>
      </c>
      <c r="R19" s="4">
        <f>Параметры!$D$15*(1+Параметры!$D$51)^INT((R6-1)/12)</f>
        <v>4134</v>
      </c>
      <c r="S19" s="4">
        <f>Параметры!$D$15*(1+Параметры!$D$51)^INT((S6-1)/12)</f>
        <v>4134</v>
      </c>
      <c r="T19" s="4">
        <f>Параметры!$D$15*(1+Параметры!$D$51)^INT((T6-1)/12)</f>
        <v>4134</v>
      </c>
      <c r="U19" s="4">
        <f>Параметры!$D$15*(1+Параметры!$D$51)^INT((U6-1)/12)</f>
        <v>4134</v>
      </c>
      <c r="V19" s="4">
        <f>Параметры!$D$15*(1+Параметры!$D$51)^INT((V6-1)/12)</f>
        <v>4134</v>
      </c>
      <c r="W19" s="4">
        <f>Параметры!$D$15*(1+Параметры!$D$51)^INT((W6-1)/12)</f>
        <v>4134</v>
      </c>
      <c r="X19" s="4">
        <f>Параметры!$D$15*(1+Параметры!$D$51)^INT((X6-1)/12)</f>
        <v>4134</v>
      </c>
      <c r="Y19" s="4">
        <f>Параметры!$D$15*(1+Параметры!$D$51)^INT((Y6-1)/12)</f>
        <v>4134</v>
      </c>
      <c r="Z19" s="4">
        <f>Параметры!$D$15*(1+Параметры!$D$51)^INT((Z6-1)/12)</f>
        <v>4134</v>
      </c>
      <c r="AA19" s="4">
        <f>Параметры!$D$15*(1+Параметры!$D$51)^INT((AA6-1)/12)</f>
        <v>4134</v>
      </c>
      <c r="AB19" s="4">
        <f>Параметры!$D$15*(1+Параметры!$D$51)^INT((AB6-1)/12)</f>
        <v>4134</v>
      </c>
      <c r="AC19" s="4">
        <f>Параметры!$D$15*(1+Параметры!$D$51)^INT((AC6-1)/12)</f>
        <v>4134</v>
      </c>
    </row>
    <row r="20" spans="3:29" ht="21.95" customHeight="1">
      <c r="C20" s="33" t="s">
        <v>5</v>
      </c>
      <c r="D20" s="33"/>
      <c r="E20" s="33"/>
      <c r="F20" s="33">
        <f t="shared" ref="F20:AC20" si="7">F13*F8*F19</f>
        <v>1813500</v>
      </c>
      <c r="G20" s="33">
        <f t="shared" si="7"/>
        <v>2538900</v>
      </c>
      <c r="H20" s="33">
        <f t="shared" si="7"/>
        <v>3159000</v>
      </c>
      <c r="I20" s="33">
        <f t="shared" si="7"/>
        <v>3868800</v>
      </c>
      <c r="J20" s="33">
        <f t="shared" si="7"/>
        <v>4212000</v>
      </c>
      <c r="K20" s="33">
        <f t="shared" si="7"/>
        <v>4836000</v>
      </c>
      <c r="L20" s="33">
        <f t="shared" si="7"/>
        <v>5259150</v>
      </c>
      <c r="M20" s="33">
        <f t="shared" si="7"/>
        <v>5259150</v>
      </c>
      <c r="N20" s="33">
        <f t="shared" si="7"/>
        <v>5924100</v>
      </c>
      <c r="O20" s="33">
        <f t="shared" si="7"/>
        <v>5967000</v>
      </c>
      <c r="P20" s="33">
        <f t="shared" si="7"/>
        <v>6407700</v>
      </c>
      <c r="Q20" s="33">
        <f t="shared" si="7"/>
        <v>6318000</v>
      </c>
      <c r="R20" s="33">
        <f t="shared" si="7"/>
        <v>6920316</v>
      </c>
      <c r="S20" s="33">
        <f t="shared" si="7"/>
        <v>6920316</v>
      </c>
      <c r="T20" s="33">
        <f t="shared" si="7"/>
        <v>6697080</v>
      </c>
      <c r="U20" s="33">
        <f t="shared" si="7"/>
        <v>6920316</v>
      </c>
      <c r="V20" s="33">
        <f t="shared" si="7"/>
        <v>6697080</v>
      </c>
      <c r="W20" s="33">
        <f t="shared" si="7"/>
        <v>6920316</v>
      </c>
      <c r="X20" s="33">
        <f t="shared" si="7"/>
        <v>6920316</v>
      </c>
      <c r="Y20" s="33">
        <f t="shared" si="7"/>
        <v>6250608</v>
      </c>
      <c r="Z20" s="33">
        <f t="shared" si="7"/>
        <v>6920316</v>
      </c>
      <c r="AA20" s="33">
        <f t="shared" si="7"/>
        <v>6697080</v>
      </c>
      <c r="AB20" s="33">
        <f t="shared" si="7"/>
        <v>6920316</v>
      </c>
      <c r="AC20" s="33">
        <f t="shared" si="7"/>
        <v>6697080</v>
      </c>
    </row>
    <row r="21" spans="3:29" ht="21.95" customHeight="1">
      <c r="C21" s="1" t="s">
        <v>154</v>
      </c>
      <c r="D21" s="1"/>
      <c r="E21" s="1"/>
      <c r="F21" s="4">
        <f>Параметры!$D$62</f>
        <v>0</v>
      </c>
      <c r="G21" s="4">
        <f>Параметры!$D$62</f>
        <v>0</v>
      </c>
      <c r="H21" s="4">
        <f>Параметры!$D$62</f>
        <v>0</v>
      </c>
      <c r="I21" s="4">
        <f>Параметры!$D$62</f>
        <v>0</v>
      </c>
      <c r="J21" s="4">
        <f>Параметры!$D$62</f>
        <v>0</v>
      </c>
      <c r="K21" s="4">
        <f>Параметры!$D$62</f>
        <v>0</v>
      </c>
      <c r="L21" s="4">
        <f>Параметры!$D$62</f>
        <v>0</v>
      </c>
      <c r="M21" s="4">
        <f>Параметры!$D$62</f>
        <v>0</v>
      </c>
      <c r="N21" s="4">
        <f>Параметры!$D$62</f>
        <v>0</v>
      </c>
      <c r="O21" s="4">
        <f>Параметры!$D$62</f>
        <v>0</v>
      </c>
      <c r="P21" s="4">
        <f>Параметры!$D$62</f>
        <v>0</v>
      </c>
      <c r="Q21" s="4">
        <f>Параметры!$D$62</f>
        <v>0</v>
      </c>
      <c r="R21" s="4">
        <f>Параметры!$D$62</f>
        <v>0</v>
      </c>
      <c r="S21" s="4">
        <f>Параметры!$D$62</f>
        <v>0</v>
      </c>
      <c r="T21" s="4">
        <f>Параметры!$D$62</f>
        <v>0</v>
      </c>
      <c r="U21" s="4">
        <f>Параметры!$D$62</f>
        <v>0</v>
      </c>
      <c r="V21" s="4">
        <f>Параметры!$D$62</f>
        <v>0</v>
      </c>
      <c r="W21" s="4">
        <f>Параметры!$D$62</f>
        <v>0</v>
      </c>
      <c r="X21" s="4">
        <f>Параметры!$D$62</f>
        <v>0</v>
      </c>
      <c r="Y21" s="4">
        <f>Параметры!$D$62</f>
        <v>0</v>
      </c>
      <c r="Z21" s="4">
        <f>Параметры!$D$62</f>
        <v>0</v>
      </c>
      <c r="AA21" s="4">
        <f>Параметры!$D$62</f>
        <v>0</v>
      </c>
      <c r="AB21" s="4">
        <f>Параметры!$D$62</f>
        <v>0</v>
      </c>
      <c r="AC21" s="4">
        <f>Параметры!$D$62</f>
        <v>0</v>
      </c>
    </row>
    <row r="22" spans="3:29" ht="21.95" customHeight="1">
      <c r="C22" s="1" t="s">
        <v>95</v>
      </c>
      <c r="D22" s="1"/>
      <c r="E22" s="1"/>
      <c r="F22" s="4">
        <f>Параметры!$D$60</f>
        <v>0</v>
      </c>
      <c r="G22" s="1">
        <f t="shared" ref="G22:AC22" si="8">IF(G9=F9,F22,F27)</f>
        <v>0</v>
      </c>
      <c r="H22" s="1">
        <f t="shared" si="8"/>
        <v>0</v>
      </c>
      <c r="I22" s="1">
        <f t="shared" si="8"/>
        <v>0</v>
      </c>
      <c r="J22" s="1">
        <f t="shared" si="8"/>
        <v>0</v>
      </c>
      <c r="K22" s="1">
        <f t="shared" si="8"/>
        <v>0</v>
      </c>
      <c r="L22" s="1">
        <f t="shared" si="8"/>
        <v>20428200</v>
      </c>
      <c r="M22" s="1">
        <f t="shared" si="8"/>
        <v>20428200</v>
      </c>
      <c r="N22" s="1">
        <f t="shared" si="8"/>
        <v>20428200</v>
      </c>
      <c r="O22" s="1">
        <f t="shared" si="8"/>
        <v>20428200</v>
      </c>
      <c r="P22" s="1">
        <f t="shared" si="8"/>
        <v>20428200</v>
      </c>
      <c r="Q22" s="1">
        <f t="shared" si="8"/>
        <v>20428200</v>
      </c>
      <c r="R22" s="1">
        <f t="shared" si="8"/>
        <v>20428200</v>
      </c>
      <c r="S22" s="1">
        <f t="shared" si="8"/>
        <v>20428200</v>
      </c>
      <c r="T22" s="1">
        <f t="shared" si="8"/>
        <v>20428200</v>
      </c>
      <c r="U22" s="1">
        <f t="shared" si="8"/>
        <v>20428200</v>
      </c>
      <c r="V22" s="1">
        <f t="shared" si="8"/>
        <v>20428200</v>
      </c>
      <c r="W22" s="1">
        <f t="shared" si="8"/>
        <v>20428200</v>
      </c>
      <c r="X22" s="1">
        <f t="shared" si="8"/>
        <v>72581451.428571418</v>
      </c>
      <c r="Y22" s="1">
        <f t="shared" si="8"/>
        <v>72581451.428571418</v>
      </c>
      <c r="Z22" s="1">
        <f t="shared" si="8"/>
        <v>72581451.428571418</v>
      </c>
      <c r="AA22" s="1">
        <f t="shared" si="8"/>
        <v>72581451.428571418</v>
      </c>
      <c r="AB22" s="1">
        <f t="shared" si="8"/>
        <v>72581451.428571418</v>
      </c>
      <c r="AC22" s="1">
        <f t="shared" si="8"/>
        <v>72581451.428571418</v>
      </c>
    </row>
    <row r="23" spans="3:29" ht="21.95" customHeight="1">
      <c r="C23" s="1" t="s">
        <v>155</v>
      </c>
      <c r="D23" s="1"/>
      <c r="E23" s="1"/>
      <c r="F23" s="4">
        <f>Параметры!$D$61</f>
        <v>0</v>
      </c>
      <c r="G23" s="1">
        <f t="shared" ref="G23:AC23" si="9">IF(G9=F9,F27,0)</f>
        <v>1813500</v>
      </c>
      <c r="H23" s="1">
        <f t="shared" si="9"/>
        <v>4352400</v>
      </c>
      <c r="I23" s="1">
        <f t="shared" si="9"/>
        <v>7511400</v>
      </c>
      <c r="J23" s="1">
        <f t="shared" si="9"/>
        <v>11380200</v>
      </c>
      <c r="K23" s="1">
        <f t="shared" si="9"/>
        <v>15592200</v>
      </c>
      <c r="L23" s="1">
        <f t="shared" si="9"/>
        <v>0</v>
      </c>
      <c r="M23" s="1">
        <f t="shared" si="9"/>
        <v>5008714.2857142854</v>
      </c>
      <c r="N23" s="1">
        <f t="shared" si="9"/>
        <v>10017428.571428571</v>
      </c>
      <c r="O23" s="1">
        <f t="shared" si="9"/>
        <v>15659428.571428571</v>
      </c>
      <c r="P23" s="1">
        <f t="shared" si="9"/>
        <v>21342285.714285713</v>
      </c>
      <c r="Q23" s="1">
        <f t="shared" si="9"/>
        <v>27444857.142857142</v>
      </c>
      <c r="R23" s="1">
        <f t="shared" si="9"/>
        <v>33462000</v>
      </c>
      <c r="S23" s="1">
        <f t="shared" si="9"/>
        <v>40052777.142857142</v>
      </c>
      <c r="T23" s="1">
        <f t="shared" si="9"/>
        <v>46643554.285714284</v>
      </c>
      <c r="U23" s="1">
        <f t="shared" si="9"/>
        <v>53021725.714285709</v>
      </c>
      <c r="V23" s="1">
        <f t="shared" si="9"/>
        <v>59612502.857142851</v>
      </c>
      <c r="W23" s="1">
        <f t="shared" si="9"/>
        <v>65990674.285714276</v>
      </c>
      <c r="X23" s="1">
        <f t="shared" si="9"/>
        <v>0</v>
      </c>
      <c r="Y23" s="1">
        <f t="shared" si="9"/>
        <v>6590777.1428571427</v>
      </c>
      <c r="Z23" s="1">
        <f t="shared" si="9"/>
        <v>12543737.142857142</v>
      </c>
      <c r="AA23" s="1">
        <f t="shared" si="9"/>
        <v>19134514.285714284</v>
      </c>
      <c r="AB23" s="1">
        <f t="shared" si="9"/>
        <v>25512685.714285713</v>
      </c>
      <c r="AC23" s="1">
        <f t="shared" si="9"/>
        <v>32103462.857142854</v>
      </c>
    </row>
    <row r="24" spans="3:29" ht="21.95" customHeight="1">
      <c r="C24" s="1" t="s">
        <v>156</v>
      </c>
      <c r="D24" s="1"/>
      <c r="E24" s="1"/>
      <c r="F24" s="26">
        <f>IF(Параметры!$D$57=1,0,IF(OR(F22&gt;Параметры!$D$55,F23&gt;Параметры!$D$55),1,0))</f>
        <v>0</v>
      </c>
      <c r="G24" s="26">
        <f>IF(Параметры!$D$57=1,0,IF(OR(G22&gt;Параметры!$D$55,G23&gt;Параметры!$D$55),1,0))</f>
        <v>0</v>
      </c>
      <c r="H24" s="26">
        <f>IF(Параметры!$D$57=1,0,IF(OR(H22&gt;Параметры!$D$55,H23&gt;Параметры!$D$55),1,0))</f>
        <v>0</v>
      </c>
      <c r="I24" s="26">
        <f>IF(Параметры!$D$57=1,0,IF(OR(I22&gt;Параметры!$D$55,I23&gt;Параметры!$D$55),1,0))</f>
        <v>0</v>
      </c>
      <c r="J24" s="26">
        <f>IF(Параметры!$D$57=1,0,IF(OR(J22&gt;Параметры!$D$55,J23&gt;Параметры!$D$55),1,0))</f>
        <v>0</v>
      </c>
      <c r="K24" s="26">
        <f>IF(Параметры!$D$57=1,0,IF(OR(K22&gt;Параметры!$D$55,K23&gt;Параметры!$D$55),1,0))</f>
        <v>0</v>
      </c>
      <c r="L24" s="26">
        <f>IF(Параметры!$D$57=1,0,IF(OR(L22&gt;Параметры!$D$55,L23&gt;Параметры!$D$55),1,0))</f>
        <v>1</v>
      </c>
      <c r="M24" s="26">
        <f>IF(Параметры!$D$57=1,0,IF(OR(M22&gt;Параметры!$D$55,M23&gt;Параметры!$D$55),1,0))</f>
        <v>1</v>
      </c>
      <c r="N24" s="26">
        <f>IF(Параметры!$D$57=1,0,IF(OR(N22&gt;Параметры!$D$55,N23&gt;Параметры!$D$55),1,0))</f>
        <v>1</v>
      </c>
      <c r="O24" s="26">
        <f>IF(Параметры!$D$57=1,0,IF(OR(O22&gt;Параметры!$D$55,O23&gt;Параметры!$D$55),1,0))</f>
        <v>1</v>
      </c>
      <c r="P24" s="26">
        <f>IF(Параметры!$D$57=1,0,IF(OR(P22&gt;Параметры!$D$55,P23&gt;Параметры!$D$55),1,0))</f>
        <v>1</v>
      </c>
      <c r="Q24" s="26">
        <f>IF(Параметры!$D$57=1,0,IF(OR(Q22&gt;Параметры!$D$55,Q23&gt;Параметры!$D$55),1,0))</f>
        <v>1</v>
      </c>
      <c r="R24" s="26">
        <f>IF(Параметры!$D$57=1,0,IF(OR(R22&gt;Параметры!$D$55,R23&gt;Параметры!$D$55),1,0))</f>
        <v>1</v>
      </c>
      <c r="S24" s="26">
        <f>IF(Параметры!$D$57=1,0,IF(OR(S22&gt;Параметры!$D$55,S23&gt;Параметры!$D$55),1,0))</f>
        <v>1</v>
      </c>
      <c r="T24" s="26">
        <f>IF(Параметры!$D$57=1,0,IF(OR(T22&gt;Параметры!$D$55,T23&gt;Параметры!$D$55),1,0))</f>
        <v>1</v>
      </c>
      <c r="U24" s="26">
        <f>IF(Параметры!$D$57=1,0,IF(OR(U22&gt;Параметры!$D$55,U23&gt;Параметры!$D$55),1,0))</f>
        <v>1</v>
      </c>
      <c r="V24" s="26">
        <f>IF(Параметры!$D$57=1,0,IF(OR(V22&gt;Параметры!$D$55,V23&gt;Параметры!$D$55),1,0))</f>
        <v>1</v>
      </c>
      <c r="W24" s="26">
        <f>IF(Параметры!$D$57=1,0,IF(OR(W22&gt;Параметры!$D$55,W23&gt;Параметры!$D$55),1,0))</f>
        <v>1</v>
      </c>
      <c r="X24" s="26">
        <f>IF(Параметры!$D$57=1,0,IF(OR(X22&gt;Параметры!$D$55,X23&gt;Параметры!$D$55),1,0))</f>
        <v>1</v>
      </c>
      <c r="Y24" s="26">
        <f>IF(Параметры!$D$57=1,0,IF(OR(Y22&gt;Параметры!$D$55,Y23&gt;Параметры!$D$55),1,0))</f>
        <v>1</v>
      </c>
      <c r="Z24" s="26">
        <f>IF(Параметры!$D$57=1,0,IF(OR(Z22&gt;Параметры!$D$55,Z23&gt;Параметры!$D$55),1,0))</f>
        <v>1</v>
      </c>
      <c r="AA24" s="26">
        <f>IF(Параметры!$D$57=1,0,IF(OR(AA22&gt;Параметры!$D$55,AA23&gt;Параметры!$D$55),1,0))</f>
        <v>1</v>
      </c>
      <c r="AB24" s="26">
        <f>IF(Параметры!$D$57=1,0,IF(OR(AB22&gt;Параметры!$D$55,AB23&gt;Параметры!$D$55),1,0))</f>
        <v>1</v>
      </c>
      <c r="AC24" s="26">
        <f>IF(Параметры!$D$57=1,0,IF(OR(AC22&gt;Параметры!$D$55,AC23&gt;Параметры!$D$55),1,0))</f>
        <v>1</v>
      </c>
    </row>
    <row r="25" spans="3:29" ht="21.95" customHeight="1">
      <c r="C25" s="1" t="s">
        <v>157</v>
      </c>
      <c r="D25" s="1"/>
      <c r="E25" s="1"/>
      <c r="F25" s="4">
        <f>F20*F24*Параметры!$D$56/(1+Параметры!$D$56)</f>
        <v>0</v>
      </c>
      <c r="G25" s="4">
        <f>G20*G24*Параметры!$D$56/(1+Параметры!$D$56)</f>
        <v>0</v>
      </c>
      <c r="H25" s="4">
        <f>H20*H24*Параметры!$D$56/(1+Параметры!$D$56)</f>
        <v>0</v>
      </c>
      <c r="I25" s="4">
        <f>I20*I24*Параметры!$D$56/(1+Параметры!$D$56)</f>
        <v>0</v>
      </c>
      <c r="J25" s="4">
        <f>J20*J24*Параметры!$D$56/(1+Параметры!$D$56)</f>
        <v>0</v>
      </c>
      <c r="K25" s="4">
        <f>K20*K24*Параметры!$D$56/(1+Параметры!$D$56)</f>
        <v>0</v>
      </c>
      <c r="L25" s="4">
        <f>L20*L24*Параметры!$D$56/(1+Параметры!$D$56)</f>
        <v>250435.71428571426</v>
      </c>
      <c r="M25" s="4">
        <f>M20*M24*Параметры!$D$56/(1+Параметры!$D$56)</f>
        <v>250435.71428571426</v>
      </c>
      <c r="N25" s="4">
        <f>N20*N24*Параметры!$D$56/(1+Параметры!$D$56)</f>
        <v>282100</v>
      </c>
      <c r="O25" s="4">
        <f>O20*O24*Параметры!$D$56/(1+Параметры!$D$56)</f>
        <v>284142.85714285716</v>
      </c>
      <c r="P25" s="4">
        <f>P20*P24*Параметры!$D$56/(1+Параметры!$D$56)</f>
        <v>305128.57142857142</v>
      </c>
      <c r="Q25" s="4">
        <f>Q20*Q24*Параметры!$D$56/(1+Параметры!$D$56)</f>
        <v>300857.14285714284</v>
      </c>
      <c r="R25" s="4">
        <f>R20*R24*Параметры!$D$56/(1+Параметры!$D$56)</f>
        <v>329538.85714285716</v>
      </c>
      <c r="S25" s="4">
        <f>S20*S24*Параметры!$D$56/(1+Параметры!$D$56)</f>
        <v>329538.85714285716</v>
      </c>
      <c r="T25" s="4">
        <f>T20*T24*Параметры!$D$56/(1+Параметры!$D$56)</f>
        <v>318908.57142857142</v>
      </c>
      <c r="U25" s="4">
        <f>U20*U24*Параметры!$D$56/(1+Параметры!$D$56)</f>
        <v>329538.85714285716</v>
      </c>
      <c r="V25" s="4">
        <f>V20*V24*Параметры!$D$56/(1+Параметры!$D$56)</f>
        <v>318908.57142857142</v>
      </c>
      <c r="W25" s="4">
        <f>W20*W24*Параметры!$D$56/(1+Параметры!$D$56)</f>
        <v>329538.85714285716</v>
      </c>
      <c r="X25" s="4">
        <f>X20*X24*Параметры!$D$56/(1+Параметры!$D$56)</f>
        <v>329538.85714285716</v>
      </c>
      <c r="Y25" s="4">
        <f>Y20*Y24*Параметры!$D$56/(1+Параметры!$D$56)</f>
        <v>297648</v>
      </c>
      <c r="Z25" s="4">
        <f>Z20*Z24*Параметры!$D$56/(1+Параметры!$D$56)</f>
        <v>329538.85714285716</v>
      </c>
      <c r="AA25" s="4">
        <f>AA20*AA24*Параметры!$D$56/(1+Параметры!$D$56)</f>
        <v>318908.57142857142</v>
      </c>
      <c r="AB25" s="4">
        <f>AB20*AB24*Параметры!$D$56/(1+Параметры!$D$56)</f>
        <v>329538.85714285716</v>
      </c>
      <c r="AC25" s="4">
        <f>AC20*AC24*Параметры!$D$56/(1+Параметры!$D$56)</f>
        <v>318908.57142857142</v>
      </c>
    </row>
    <row r="26" spans="3:29" ht="21.95" customHeight="1">
      <c r="C26" s="33" t="s">
        <v>6</v>
      </c>
      <c r="D26" s="33"/>
      <c r="E26" s="33"/>
      <c r="F26" s="33">
        <f t="shared" ref="F26:AC26" si="10">F20-F25</f>
        <v>1813500</v>
      </c>
      <c r="G26" s="33">
        <f t="shared" si="10"/>
        <v>2538900</v>
      </c>
      <c r="H26" s="33">
        <f t="shared" si="10"/>
        <v>3159000</v>
      </c>
      <c r="I26" s="33">
        <f t="shared" si="10"/>
        <v>3868800</v>
      </c>
      <c r="J26" s="33">
        <f t="shared" si="10"/>
        <v>4212000</v>
      </c>
      <c r="K26" s="33">
        <f t="shared" si="10"/>
        <v>4836000</v>
      </c>
      <c r="L26" s="33">
        <f t="shared" si="10"/>
        <v>5008714.2857142854</v>
      </c>
      <c r="M26" s="33">
        <f t="shared" si="10"/>
        <v>5008714.2857142854</v>
      </c>
      <c r="N26" s="33">
        <f t="shared" si="10"/>
        <v>5642000</v>
      </c>
      <c r="O26" s="33">
        <f t="shared" si="10"/>
        <v>5682857.1428571427</v>
      </c>
      <c r="P26" s="33">
        <f t="shared" si="10"/>
        <v>6102571.4285714282</v>
      </c>
      <c r="Q26" s="33">
        <f t="shared" si="10"/>
        <v>6017142.8571428573</v>
      </c>
      <c r="R26" s="33">
        <f t="shared" si="10"/>
        <v>6590777.1428571427</v>
      </c>
      <c r="S26" s="33">
        <f t="shared" si="10"/>
        <v>6590777.1428571427</v>
      </c>
      <c r="T26" s="33">
        <f t="shared" si="10"/>
        <v>6378171.4285714282</v>
      </c>
      <c r="U26" s="33">
        <f t="shared" si="10"/>
        <v>6590777.1428571427</v>
      </c>
      <c r="V26" s="33">
        <f t="shared" si="10"/>
        <v>6378171.4285714282</v>
      </c>
      <c r="W26" s="33">
        <f t="shared" si="10"/>
        <v>6590777.1428571427</v>
      </c>
      <c r="X26" s="33">
        <f t="shared" si="10"/>
        <v>6590777.1428571427</v>
      </c>
      <c r="Y26" s="33">
        <f t="shared" si="10"/>
        <v>5952960</v>
      </c>
      <c r="Z26" s="33">
        <f t="shared" si="10"/>
        <v>6590777.1428571427</v>
      </c>
      <c r="AA26" s="33">
        <f t="shared" si="10"/>
        <v>6378171.4285714282</v>
      </c>
      <c r="AB26" s="33">
        <f t="shared" si="10"/>
        <v>6590777.1428571427</v>
      </c>
      <c r="AC26" s="33">
        <f t="shared" si="10"/>
        <v>6378171.4285714282</v>
      </c>
    </row>
    <row r="27" spans="3:29" ht="21.95" customHeight="1">
      <c r="C27" s="1" t="s">
        <v>158</v>
      </c>
      <c r="D27" s="1"/>
      <c r="E27" s="1"/>
      <c r="F27" s="1">
        <f t="shared" ref="F27:AC27" si="11">SUM(F23,F26,F21)</f>
        <v>1813500</v>
      </c>
      <c r="G27" s="1">
        <f t="shared" si="11"/>
        <v>4352400</v>
      </c>
      <c r="H27" s="1">
        <f t="shared" si="11"/>
        <v>7511400</v>
      </c>
      <c r="I27" s="1">
        <f t="shared" si="11"/>
        <v>11380200</v>
      </c>
      <c r="J27" s="1">
        <f t="shared" si="11"/>
        <v>15592200</v>
      </c>
      <c r="K27" s="1">
        <f t="shared" si="11"/>
        <v>20428200</v>
      </c>
      <c r="L27" s="1">
        <f t="shared" si="11"/>
        <v>5008714.2857142854</v>
      </c>
      <c r="M27" s="1">
        <f t="shared" si="11"/>
        <v>10017428.571428571</v>
      </c>
      <c r="N27" s="1">
        <f t="shared" si="11"/>
        <v>15659428.571428571</v>
      </c>
      <c r="O27" s="1">
        <f t="shared" si="11"/>
        <v>21342285.714285713</v>
      </c>
      <c r="P27" s="1">
        <f t="shared" si="11"/>
        <v>27444857.142857142</v>
      </c>
      <c r="Q27" s="1">
        <f t="shared" si="11"/>
        <v>33462000</v>
      </c>
      <c r="R27" s="1">
        <f t="shared" si="11"/>
        <v>40052777.142857142</v>
      </c>
      <c r="S27" s="1">
        <f t="shared" si="11"/>
        <v>46643554.285714284</v>
      </c>
      <c r="T27" s="1">
        <f t="shared" si="11"/>
        <v>53021725.714285709</v>
      </c>
      <c r="U27" s="1">
        <f t="shared" si="11"/>
        <v>59612502.857142851</v>
      </c>
      <c r="V27" s="1">
        <f t="shared" si="11"/>
        <v>65990674.285714276</v>
      </c>
      <c r="W27" s="1">
        <f t="shared" si="11"/>
        <v>72581451.428571418</v>
      </c>
      <c r="X27" s="1">
        <f t="shared" si="11"/>
        <v>6590777.1428571427</v>
      </c>
      <c r="Y27" s="1">
        <f t="shared" si="11"/>
        <v>12543737.142857142</v>
      </c>
      <c r="Z27" s="1">
        <f t="shared" si="11"/>
        <v>19134514.285714284</v>
      </c>
      <c r="AA27" s="1">
        <f t="shared" si="11"/>
        <v>25512685.714285713</v>
      </c>
      <c r="AB27" s="1">
        <f t="shared" si="11"/>
        <v>32103462.857142854</v>
      </c>
      <c r="AC27" s="1">
        <f t="shared" si="11"/>
        <v>38481634.285714284</v>
      </c>
    </row>
    <row r="28" spans="3:29" ht="21.95" customHeight="1">
      <c r="C28" s="1" t="s">
        <v>159</v>
      </c>
      <c r="D28" s="1"/>
      <c r="E28" s="1"/>
      <c r="F28" s="4">
        <f>MAX(Параметры!$D$70,ROUNDUP(F15/Параметры!$D$71,0),ROUNDUP(F15/Параметры!$D$72,0))</f>
        <v>2</v>
      </c>
      <c r="G28" s="4">
        <f>MAX(Параметры!$D$70,ROUNDUP(G15/Параметры!$D$71,0),ROUNDUP(G15/Параметры!$D$72,0))</f>
        <v>3</v>
      </c>
      <c r="H28" s="4">
        <f>MAX(Параметры!$D$70,ROUNDUP(H15/Параметры!$D$71,0),ROUNDUP(H15/Параметры!$D$72,0))</f>
        <v>3</v>
      </c>
      <c r="I28" s="4">
        <f>MAX(Параметры!$D$70,ROUNDUP(I15/Параметры!$D$71,0),ROUNDUP(I15/Параметры!$D$72,0))</f>
        <v>4</v>
      </c>
      <c r="J28" s="4">
        <f>MAX(Параметры!$D$70,ROUNDUP(J15/Параметры!$D$71,0),ROUNDUP(J15/Параметры!$D$72,0))</f>
        <v>4</v>
      </c>
      <c r="K28" s="4">
        <f>MAX(Параметры!$D$70,ROUNDUP(K15/Параметры!$D$71,0),ROUNDUP(K15/Параметры!$D$72,0))</f>
        <v>5</v>
      </c>
      <c r="L28" s="4">
        <f>MAX(Параметры!$D$70,ROUNDUP(L15/Параметры!$D$71,0),ROUNDUP(L15/Параметры!$D$72,0))</f>
        <v>5</v>
      </c>
      <c r="M28" s="4">
        <f>MAX(Параметры!$D$70,ROUNDUP(M15/Параметры!$D$71,0),ROUNDUP(M15/Параметры!$D$72,0))</f>
        <v>5</v>
      </c>
      <c r="N28" s="4">
        <f>MAX(Параметры!$D$70,ROUNDUP(N15/Параметры!$D$71,0),ROUNDUP(N15/Параметры!$D$72,0))</f>
        <v>5</v>
      </c>
      <c r="O28" s="4">
        <f>MAX(Параметры!$D$70,ROUNDUP(O15/Параметры!$D$71,0),ROUNDUP(O15/Параметры!$D$72,0))</f>
        <v>6</v>
      </c>
      <c r="P28" s="4">
        <f>MAX(Параметры!$D$70,ROUNDUP(P15/Параметры!$D$71,0),ROUNDUP(P15/Параметры!$D$72,0))</f>
        <v>6</v>
      </c>
      <c r="Q28" s="4">
        <f>MAX(Параметры!$D$70,ROUNDUP(Q15/Параметры!$D$71,0),ROUNDUP(Q15/Параметры!$D$72,0))</f>
        <v>6</v>
      </c>
      <c r="R28" s="4">
        <f>MAX(Параметры!$D$70,ROUNDUP(R15/Параметры!$D$71,0),ROUNDUP(R15/Параметры!$D$72,0))</f>
        <v>6</v>
      </c>
      <c r="S28" s="4">
        <f>MAX(Параметры!$D$70,ROUNDUP(S15/Параметры!$D$71,0),ROUNDUP(S15/Параметры!$D$72,0))</f>
        <v>6</v>
      </c>
      <c r="T28" s="4">
        <f>MAX(Параметры!$D$70,ROUNDUP(T15/Параметры!$D$71,0),ROUNDUP(T15/Параметры!$D$72,0))</f>
        <v>6</v>
      </c>
      <c r="U28" s="4">
        <f>MAX(Параметры!$D$70,ROUNDUP(U15/Параметры!$D$71,0),ROUNDUP(U15/Параметры!$D$72,0))</f>
        <v>6</v>
      </c>
      <c r="V28" s="4">
        <f>MAX(Параметры!$D$70,ROUNDUP(V15/Параметры!$D$71,0),ROUNDUP(V15/Параметры!$D$72,0))</f>
        <v>6</v>
      </c>
      <c r="W28" s="4">
        <f>MAX(Параметры!$D$70,ROUNDUP(W15/Параметры!$D$71,0),ROUNDUP(W15/Параметры!$D$72,0))</f>
        <v>6</v>
      </c>
      <c r="X28" s="4">
        <f>MAX(Параметры!$D$70,ROUNDUP(X15/Параметры!$D$71,0),ROUNDUP(X15/Параметры!$D$72,0))</f>
        <v>6</v>
      </c>
      <c r="Y28" s="4">
        <f>MAX(Параметры!$D$70,ROUNDUP(Y15/Параметры!$D$71,0),ROUNDUP(Y15/Параметры!$D$72,0))</f>
        <v>6</v>
      </c>
      <c r="Z28" s="4">
        <f>MAX(Параметры!$D$70,ROUNDUP(Z15/Параметры!$D$71,0),ROUNDUP(Z15/Параметры!$D$72,0))</f>
        <v>6</v>
      </c>
      <c r="AA28" s="4">
        <f>MAX(Параметры!$D$70,ROUNDUP(AA15/Параметры!$D$71,0),ROUNDUP(AA15/Параметры!$D$72,0))</f>
        <v>6</v>
      </c>
      <c r="AB28" s="4">
        <f>MAX(Параметры!$D$70,ROUNDUP(AB15/Параметры!$D$71,0),ROUNDUP(AB15/Параметры!$D$72,0))</f>
        <v>6</v>
      </c>
      <c r="AC28" s="4">
        <f>MAX(Параметры!$D$70,ROUNDUP(AC15/Параметры!$D$71,0),ROUNDUP(AC15/Параметры!$D$72,0))</f>
        <v>6</v>
      </c>
    </row>
    <row r="29" spans="3:29" ht="21.95" customHeight="1">
      <c r="C29" s="1" t="s">
        <v>160</v>
      </c>
      <c r="D29" s="1"/>
      <c r="E29" s="1"/>
      <c r="F29" s="4">
        <f>MAX(Параметры!$D$70,ROUNDUP(F15/Параметры!$D$71,0),ROUNDUP(F15/Параметры!$D$73,0))</f>
        <v>2</v>
      </c>
      <c r="G29" s="4">
        <f>MAX(Параметры!$D$70,ROUNDUP(G15/Параметры!$D$71,0),ROUNDUP(G15/Параметры!$D$73,0))</f>
        <v>2</v>
      </c>
      <c r="H29" s="4">
        <f>MAX(Параметры!$D$70,ROUNDUP(H15/Параметры!$D$71,0),ROUNDUP(H15/Параметры!$D$73,0))</f>
        <v>2</v>
      </c>
      <c r="I29" s="4">
        <f>MAX(Параметры!$D$70,ROUNDUP(I15/Параметры!$D$71,0),ROUNDUP(I15/Параметры!$D$73,0))</f>
        <v>2</v>
      </c>
      <c r="J29" s="4">
        <f>MAX(Параметры!$D$70,ROUNDUP(J15/Параметры!$D$71,0),ROUNDUP(J15/Параметры!$D$73,0))</f>
        <v>2</v>
      </c>
      <c r="K29" s="4">
        <f>MAX(Параметры!$D$70,ROUNDUP(K15/Параметры!$D$71,0),ROUNDUP(K15/Параметры!$D$73,0))</f>
        <v>3</v>
      </c>
      <c r="L29" s="4">
        <f>MAX(Параметры!$D$70,ROUNDUP(L15/Параметры!$D$71,0),ROUNDUP(L15/Параметры!$D$73,0))</f>
        <v>3</v>
      </c>
      <c r="M29" s="4">
        <f>MAX(Параметры!$D$70,ROUNDUP(M15/Параметры!$D$71,0),ROUNDUP(M15/Параметры!$D$73,0))</f>
        <v>3</v>
      </c>
      <c r="N29" s="4">
        <f>MAX(Параметры!$D$70,ROUNDUP(N15/Параметры!$D$71,0),ROUNDUP(N15/Параметры!$D$73,0))</f>
        <v>3</v>
      </c>
      <c r="O29" s="4">
        <f>MAX(Параметры!$D$70,ROUNDUP(O15/Параметры!$D$71,0),ROUNDUP(O15/Параметры!$D$73,0))</f>
        <v>3</v>
      </c>
      <c r="P29" s="4">
        <f>MAX(Параметры!$D$70,ROUNDUP(P15/Параметры!$D$71,0),ROUNDUP(P15/Параметры!$D$73,0))</f>
        <v>3</v>
      </c>
      <c r="Q29" s="4">
        <f>MAX(Параметры!$D$70,ROUNDUP(Q15/Параметры!$D$71,0),ROUNDUP(Q15/Параметры!$D$73,0))</f>
        <v>3</v>
      </c>
      <c r="R29" s="4">
        <f>MAX(Параметры!$D$70,ROUNDUP(R15/Параметры!$D$71,0),ROUNDUP(R15/Параметры!$D$73,0))</f>
        <v>3</v>
      </c>
      <c r="S29" s="4">
        <f>MAX(Параметры!$D$70,ROUNDUP(S15/Параметры!$D$71,0),ROUNDUP(S15/Параметры!$D$73,0))</f>
        <v>3</v>
      </c>
      <c r="T29" s="4">
        <f>MAX(Параметры!$D$70,ROUNDUP(T15/Параметры!$D$71,0),ROUNDUP(T15/Параметры!$D$73,0))</f>
        <v>3</v>
      </c>
      <c r="U29" s="4">
        <f>MAX(Параметры!$D$70,ROUNDUP(U15/Параметры!$D$71,0),ROUNDUP(U15/Параметры!$D$73,0))</f>
        <v>3</v>
      </c>
      <c r="V29" s="4">
        <f>MAX(Параметры!$D$70,ROUNDUP(V15/Параметры!$D$71,0),ROUNDUP(V15/Параметры!$D$73,0))</f>
        <v>3</v>
      </c>
      <c r="W29" s="4">
        <f>MAX(Параметры!$D$70,ROUNDUP(W15/Параметры!$D$71,0),ROUNDUP(W15/Параметры!$D$73,0))</f>
        <v>3</v>
      </c>
      <c r="X29" s="4">
        <f>MAX(Параметры!$D$70,ROUNDUP(X15/Параметры!$D$71,0),ROUNDUP(X15/Параметры!$D$73,0))</f>
        <v>3</v>
      </c>
      <c r="Y29" s="4">
        <f>MAX(Параметры!$D$70,ROUNDUP(Y15/Параметры!$D$71,0),ROUNDUP(Y15/Параметры!$D$73,0))</f>
        <v>3</v>
      </c>
      <c r="Z29" s="4">
        <f>MAX(Параметры!$D$70,ROUNDUP(Z15/Параметры!$D$71,0),ROUNDUP(Z15/Параметры!$D$73,0))</f>
        <v>3</v>
      </c>
      <c r="AA29" s="4">
        <f>MAX(Параметры!$D$70,ROUNDUP(AA15/Параметры!$D$71,0),ROUNDUP(AA15/Параметры!$D$73,0))</f>
        <v>3</v>
      </c>
      <c r="AB29" s="4">
        <f>MAX(Параметры!$D$70,ROUNDUP(AB15/Параметры!$D$71,0),ROUNDUP(AB15/Параметры!$D$73,0))</f>
        <v>3</v>
      </c>
      <c r="AC29" s="4">
        <f>MAX(Параметры!$D$70,ROUNDUP(AC15/Параметры!$D$71,0),ROUNDUP(AC15/Параметры!$D$73,0))</f>
        <v>3</v>
      </c>
    </row>
    <row r="30" spans="3:29" ht="21.95" customHeight="1">
      <c r="C30" s="1" t="s">
        <v>161</v>
      </c>
      <c r="D30" s="1"/>
      <c r="E30" s="1"/>
      <c r="F30" s="4">
        <f>ROUNDUP(SUM(F28:F29)*Параметры!$D$74*F8/Параметры!$D$43*(1+Параметры!$D$44),0)</f>
        <v>11</v>
      </c>
      <c r="G30" s="4">
        <f>ROUNDUP(SUM(G28:G29)*Параметры!$D$74*G8/Параметры!$D$43*(1+Параметры!$D$44),0)</f>
        <v>14</v>
      </c>
      <c r="H30" s="4">
        <f>ROUNDUP(SUM(H28:H29)*Параметры!$D$74*H8/Параметры!$D$43*(1+Параметры!$D$44),0)</f>
        <v>13</v>
      </c>
      <c r="I30" s="4">
        <f>ROUNDUP(SUM(I28:I29)*Параметры!$D$74*I8/Параметры!$D$43*(1+Параметры!$D$44),0)</f>
        <v>17</v>
      </c>
      <c r="J30" s="4">
        <f>ROUNDUP(SUM(J28:J29)*Параметры!$D$74*J8/Параметры!$D$43*(1+Параметры!$D$44),0)</f>
        <v>16</v>
      </c>
      <c r="K30" s="4">
        <f>ROUNDUP(SUM(K28:K29)*Параметры!$D$74*K8/Параметры!$D$43*(1+Параметры!$D$44),0)</f>
        <v>22</v>
      </c>
      <c r="L30" s="4">
        <f>ROUNDUP(SUM(L28:L29)*Параметры!$D$74*L8/Параметры!$D$43*(1+Параметры!$D$44),0)</f>
        <v>22</v>
      </c>
      <c r="M30" s="4">
        <f>ROUNDUP(SUM(M28:M29)*Параметры!$D$74*M8/Параметры!$D$43*(1+Параметры!$D$44),0)</f>
        <v>21</v>
      </c>
      <c r="N30" s="4">
        <f>ROUNDUP(SUM(N28:N29)*Параметры!$D$74*N8/Параметры!$D$43*(1+Параметры!$D$44),0)</f>
        <v>22</v>
      </c>
      <c r="O30" s="4">
        <f>ROUNDUP(SUM(O28:O29)*Параметры!$D$74*O8/Параметры!$D$43*(1+Параметры!$D$44),0)</f>
        <v>24</v>
      </c>
      <c r="P30" s="4">
        <f>ROUNDUP(SUM(P28:P29)*Параметры!$D$74*P8/Параметры!$D$43*(1+Параметры!$D$44),0)</f>
        <v>25</v>
      </c>
      <c r="Q30" s="4">
        <f>ROUNDUP(SUM(Q28:Q29)*Параметры!$D$74*Q8/Параметры!$D$43*(1+Параметры!$D$44),0)</f>
        <v>24</v>
      </c>
      <c r="R30" s="4">
        <f>ROUNDUP(SUM(R28:R29)*Параметры!$D$74*R8/Параметры!$D$43*(1+Параметры!$D$44),0)</f>
        <v>25</v>
      </c>
      <c r="S30" s="4">
        <f>ROUNDUP(SUM(S28:S29)*Параметры!$D$74*S8/Параметры!$D$43*(1+Параметры!$D$44),0)</f>
        <v>25</v>
      </c>
      <c r="T30" s="4">
        <f>ROUNDUP(SUM(T28:T29)*Параметры!$D$74*T8/Параметры!$D$43*(1+Параметры!$D$44),0)</f>
        <v>24</v>
      </c>
      <c r="U30" s="4">
        <f>ROUNDUP(SUM(U28:U29)*Параметры!$D$74*U8/Параметры!$D$43*(1+Параметры!$D$44),0)</f>
        <v>25</v>
      </c>
      <c r="V30" s="4">
        <f>ROUNDUP(SUM(V28:V29)*Параметры!$D$74*V8/Параметры!$D$43*(1+Параметры!$D$44),0)</f>
        <v>24</v>
      </c>
      <c r="W30" s="4">
        <f>ROUNDUP(SUM(W28:W29)*Параметры!$D$74*W8/Параметры!$D$43*(1+Параметры!$D$44),0)</f>
        <v>25</v>
      </c>
      <c r="X30" s="4">
        <f>ROUNDUP(SUM(X28:X29)*Параметры!$D$74*X8/Параметры!$D$43*(1+Параметры!$D$44),0)</f>
        <v>25</v>
      </c>
      <c r="Y30" s="4">
        <f>ROUNDUP(SUM(Y28:Y29)*Параметры!$D$74*Y8/Параметры!$D$43*(1+Параметры!$D$44),0)</f>
        <v>22</v>
      </c>
      <c r="Z30" s="4">
        <f>ROUNDUP(SUM(Z28:Z29)*Параметры!$D$74*Z8/Параметры!$D$43*(1+Параметры!$D$44),0)</f>
        <v>25</v>
      </c>
      <c r="AA30" s="4">
        <f>ROUNDUP(SUM(AA28:AA29)*Параметры!$D$74*AA8/Параметры!$D$43*(1+Параметры!$D$44),0)</f>
        <v>24</v>
      </c>
      <c r="AB30" s="4">
        <f>ROUNDUP(SUM(AB28:AB29)*Параметры!$D$74*AB8/Параметры!$D$43*(1+Параметры!$D$44),0)</f>
        <v>25</v>
      </c>
      <c r="AC30" s="4">
        <f>ROUNDUP(SUM(AC28:AC29)*Параметры!$D$74*AC8/Параметры!$D$43*(1+Параметры!$D$44),0)</f>
        <v>24</v>
      </c>
    </row>
    <row r="31" spans="3:29" ht="21.95" customHeight="1">
      <c r="C31" s="1" t="s">
        <v>162</v>
      </c>
      <c r="D31" s="1"/>
      <c r="E31" s="1"/>
      <c r="F31" s="4">
        <f>Параметры!$D$42*Параметры!$D$25*(1+Параметры!$D$50)^INT((F6-1)/12)</f>
        <v>80000</v>
      </c>
      <c r="G31" s="4">
        <f>Параметры!$D$42*Параметры!$D$25*(1+Параметры!$D$50)^INT((G6-1)/12)</f>
        <v>80000</v>
      </c>
      <c r="H31" s="4">
        <f>Параметры!$D$42*Параметры!$D$25*(1+Параметры!$D$50)^INT((H6-1)/12)</f>
        <v>80000</v>
      </c>
      <c r="I31" s="4">
        <f>Параметры!$D$42*Параметры!$D$25*(1+Параметры!$D$50)^INT((I6-1)/12)</f>
        <v>80000</v>
      </c>
      <c r="J31" s="4">
        <f>Параметры!$D$42*Параметры!$D$25*(1+Параметры!$D$50)^INT((J6-1)/12)</f>
        <v>80000</v>
      </c>
      <c r="K31" s="4">
        <f>Параметры!$D$42*Параметры!$D$25*(1+Параметры!$D$50)^INT((K6-1)/12)</f>
        <v>80000</v>
      </c>
      <c r="L31" s="4">
        <f>Параметры!$D$42*Параметры!$D$25*(1+Параметры!$D$50)^INT((L6-1)/12)</f>
        <v>80000</v>
      </c>
      <c r="M31" s="4">
        <f>Параметры!$D$42*Параметры!$D$25*(1+Параметры!$D$50)^INT((M6-1)/12)</f>
        <v>80000</v>
      </c>
      <c r="N31" s="4">
        <f>Параметры!$D$42*Параметры!$D$25*(1+Параметры!$D$50)^INT((N6-1)/12)</f>
        <v>80000</v>
      </c>
      <c r="O31" s="4">
        <f>Параметры!$D$42*Параметры!$D$25*(1+Параметры!$D$50)^INT((O6-1)/12)</f>
        <v>80000</v>
      </c>
      <c r="P31" s="4">
        <f>Параметры!$D$42*Параметры!$D$25*(1+Параметры!$D$50)^INT((P6-1)/12)</f>
        <v>80000</v>
      </c>
      <c r="Q31" s="4">
        <f>Параметры!$D$42*Параметры!$D$25*(1+Параметры!$D$50)^INT((Q6-1)/12)</f>
        <v>80000</v>
      </c>
      <c r="R31" s="4">
        <f>Параметры!$D$42*Параметры!$D$25*(1+Параметры!$D$50)^INT((R6-1)/12)</f>
        <v>85600</v>
      </c>
      <c r="S31" s="4">
        <f>Параметры!$D$42*Параметры!$D$25*(1+Параметры!$D$50)^INT((S6-1)/12)</f>
        <v>85600</v>
      </c>
      <c r="T31" s="4">
        <f>Параметры!$D$42*Параметры!$D$25*(1+Параметры!$D$50)^INT((T6-1)/12)</f>
        <v>85600</v>
      </c>
      <c r="U31" s="4">
        <f>Параметры!$D$42*Параметры!$D$25*(1+Параметры!$D$50)^INT((U6-1)/12)</f>
        <v>85600</v>
      </c>
      <c r="V31" s="4">
        <f>Параметры!$D$42*Параметры!$D$25*(1+Параметры!$D$50)^INT((V6-1)/12)</f>
        <v>85600</v>
      </c>
      <c r="W31" s="4">
        <f>Параметры!$D$42*Параметры!$D$25*(1+Параметры!$D$50)^INT((W6-1)/12)</f>
        <v>85600</v>
      </c>
      <c r="X31" s="4">
        <f>Параметры!$D$42*Параметры!$D$25*(1+Параметры!$D$50)^INT((X6-1)/12)</f>
        <v>85600</v>
      </c>
      <c r="Y31" s="4">
        <f>Параметры!$D$42*Параметры!$D$25*(1+Параметры!$D$50)^INT((Y6-1)/12)</f>
        <v>85600</v>
      </c>
      <c r="Z31" s="4">
        <f>Параметры!$D$42*Параметры!$D$25*(1+Параметры!$D$50)^INT((Z6-1)/12)</f>
        <v>85600</v>
      </c>
      <c r="AA31" s="4">
        <f>Параметры!$D$42*Параметры!$D$25*(1+Параметры!$D$50)^INT((AA6-1)/12)</f>
        <v>85600</v>
      </c>
      <c r="AB31" s="4">
        <f>Параметры!$D$42*Параметры!$D$25*(1+Параметры!$D$50)^INT((AB6-1)/12)</f>
        <v>85600</v>
      </c>
      <c r="AC31" s="4">
        <f>Параметры!$D$42*Параметры!$D$25*(1+Параметры!$D$50)^INT((AC6-1)/12)</f>
        <v>85600</v>
      </c>
    </row>
    <row r="32" spans="3:29" ht="21.95" customHeight="1">
      <c r="C32" s="1" t="s">
        <v>163</v>
      </c>
      <c r="D32" s="1"/>
      <c r="E32" s="1"/>
      <c r="F32" s="1">
        <f t="shared" ref="F32:AC32" si="12">F30*F31</f>
        <v>880000</v>
      </c>
      <c r="G32" s="1">
        <f t="shared" si="12"/>
        <v>1120000</v>
      </c>
      <c r="H32" s="1">
        <f t="shared" si="12"/>
        <v>1040000</v>
      </c>
      <c r="I32" s="1">
        <f t="shared" si="12"/>
        <v>1360000</v>
      </c>
      <c r="J32" s="1">
        <f t="shared" si="12"/>
        <v>1280000</v>
      </c>
      <c r="K32" s="1">
        <f t="shared" si="12"/>
        <v>1760000</v>
      </c>
      <c r="L32" s="1">
        <f t="shared" si="12"/>
        <v>1760000</v>
      </c>
      <c r="M32" s="1">
        <f t="shared" si="12"/>
        <v>1680000</v>
      </c>
      <c r="N32" s="1">
        <f t="shared" si="12"/>
        <v>1760000</v>
      </c>
      <c r="O32" s="1">
        <f t="shared" si="12"/>
        <v>1920000</v>
      </c>
      <c r="P32" s="1">
        <f t="shared" si="12"/>
        <v>2000000</v>
      </c>
      <c r="Q32" s="1">
        <f t="shared" si="12"/>
        <v>1920000</v>
      </c>
      <c r="R32" s="1">
        <f t="shared" si="12"/>
        <v>2140000</v>
      </c>
      <c r="S32" s="1">
        <f t="shared" si="12"/>
        <v>2140000</v>
      </c>
      <c r="T32" s="1">
        <f t="shared" si="12"/>
        <v>2054400</v>
      </c>
      <c r="U32" s="1">
        <f t="shared" si="12"/>
        <v>2140000</v>
      </c>
      <c r="V32" s="1">
        <f t="shared" si="12"/>
        <v>2054400</v>
      </c>
      <c r="W32" s="1">
        <f t="shared" si="12"/>
        <v>2140000</v>
      </c>
      <c r="X32" s="1">
        <f t="shared" si="12"/>
        <v>2140000</v>
      </c>
      <c r="Y32" s="1">
        <f t="shared" si="12"/>
        <v>1883200</v>
      </c>
      <c r="Z32" s="1">
        <f t="shared" si="12"/>
        <v>2140000</v>
      </c>
      <c r="AA32" s="1">
        <f t="shared" si="12"/>
        <v>2054400</v>
      </c>
      <c r="AB32" s="1">
        <f t="shared" si="12"/>
        <v>2140000</v>
      </c>
      <c r="AC32" s="1">
        <f t="shared" si="12"/>
        <v>2054400</v>
      </c>
    </row>
    <row r="33" spans="3:29" ht="21.95" customHeight="1">
      <c r="C33" s="1" t="s">
        <v>164</v>
      </c>
      <c r="D33" s="1"/>
      <c r="E33" s="1"/>
      <c r="F33" s="4">
        <f>Штат!$F$17*Параметры!$D$25*(1+Параметры!$D$50)^INT((F6-1)/12)</f>
        <v>920000</v>
      </c>
      <c r="G33" s="4">
        <f>Штат!$F$17*Параметры!$D$25*(1+Параметры!$D$50)^INT((G6-1)/12)</f>
        <v>920000</v>
      </c>
      <c r="H33" s="4">
        <f>Штат!$F$17*Параметры!$D$25*(1+Параметры!$D$50)^INT((H6-1)/12)</f>
        <v>920000</v>
      </c>
      <c r="I33" s="4">
        <f>Штат!$F$17*Параметры!$D$25*(1+Параметры!$D$50)^INT((I6-1)/12)</f>
        <v>920000</v>
      </c>
      <c r="J33" s="4">
        <f>Штат!$F$17*Параметры!$D$25*(1+Параметры!$D$50)^INT((J6-1)/12)</f>
        <v>920000</v>
      </c>
      <c r="K33" s="4">
        <f>Штат!$F$17*Параметры!$D$25*(1+Параметры!$D$50)^INT((K6-1)/12)</f>
        <v>920000</v>
      </c>
      <c r="L33" s="4">
        <f>Штат!$F$17*Параметры!$D$25*(1+Параметры!$D$50)^INT((L6-1)/12)</f>
        <v>920000</v>
      </c>
      <c r="M33" s="4">
        <f>Штат!$F$17*Параметры!$D$25*(1+Параметры!$D$50)^INT((M6-1)/12)</f>
        <v>920000</v>
      </c>
      <c r="N33" s="4">
        <f>Штат!$F$17*Параметры!$D$25*(1+Параметры!$D$50)^INT((N6-1)/12)</f>
        <v>920000</v>
      </c>
      <c r="O33" s="4">
        <f>Штат!$F$17*Параметры!$D$25*(1+Параметры!$D$50)^INT((O6-1)/12)</f>
        <v>920000</v>
      </c>
      <c r="P33" s="4">
        <f>Штат!$F$17*Параметры!$D$25*(1+Параметры!$D$50)^INT((P6-1)/12)</f>
        <v>920000</v>
      </c>
      <c r="Q33" s="4">
        <f>Штат!$F$17*Параметры!$D$25*(1+Параметры!$D$50)^INT((Q6-1)/12)</f>
        <v>920000</v>
      </c>
      <c r="R33" s="4">
        <f>Штат!$F$17*Параметры!$D$25*(1+Параметры!$D$50)^INT((R6-1)/12)</f>
        <v>984400</v>
      </c>
      <c r="S33" s="4">
        <f>Штат!$F$17*Параметры!$D$25*(1+Параметры!$D$50)^INT((S6-1)/12)</f>
        <v>984400</v>
      </c>
      <c r="T33" s="4">
        <f>Штат!$F$17*Параметры!$D$25*(1+Параметры!$D$50)^INT((T6-1)/12)</f>
        <v>984400</v>
      </c>
      <c r="U33" s="4">
        <f>Штат!$F$17*Параметры!$D$25*(1+Параметры!$D$50)^INT((U6-1)/12)</f>
        <v>984400</v>
      </c>
      <c r="V33" s="4">
        <f>Штат!$F$17*Параметры!$D$25*(1+Параметры!$D$50)^INT((V6-1)/12)</f>
        <v>984400</v>
      </c>
      <c r="W33" s="4">
        <f>Штат!$F$17*Параметры!$D$25*(1+Параметры!$D$50)^INT((W6-1)/12)</f>
        <v>984400</v>
      </c>
      <c r="X33" s="4">
        <f>Штат!$F$17*Параметры!$D$25*(1+Параметры!$D$50)^INT((X6-1)/12)</f>
        <v>984400</v>
      </c>
      <c r="Y33" s="4">
        <f>Штат!$F$17*Параметры!$D$25*(1+Параметры!$D$50)^INT((Y6-1)/12)</f>
        <v>984400</v>
      </c>
      <c r="Z33" s="4">
        <f>Штат!$F$17*Параметры!$D$25*(1+Параметры!$D$50)^INT((Z6-1)/12)</f>
        <v>984400</v>
      </c>
      <c r="AA33" s="4">
        <f>Штат!$F$17*Параметры!$D$25*(1+Параметры!$D$50)^INT((AA6-1)/12)</f>
        <v>984400</v>
      </c>
      <c r="AB33" s="4">
        <f>Штат!$F$17*Параметры!$D$25*(1+Параметры!$D$50)^INT((AB6-1)/12)</f>
        <v>984400</v>
      </c>
      <c r="AC33" s="4">
        <f>Штат!$F$17*Параметры!$D$25*(1+Параметры!$D$50)^INT((AC6-1)/12)</f>
        <v>984400</v>
      </c>
    </row>
    <row r="34" spans="3:29" ht="21.95" customHeight="1">
      <c r="C34" s="1" t="s">
        <v>165</v>
      </c>
      <c r="D34" s="1"/>
      <c r="E34" s="1"/>
      <c r="F34" s="1">
        <f t="shared" ref="F34:AC34" si="13">SUM(F32:F33)</f>
        <v>1800000</v>
      </c>
      <c r="G34" s="1">
        <f t="shared" si="13"/>
        <v>2040000</v>
      </c>
      <c r="H34" s="1">
        <f t="shared" si="13"/>
        <v>1960000</v>
      </c>
      <c r="I34" s="1">
        <f t="shared" si="13"/>
        <v>2280000</v>
      </c>
      <c r="J34" s="1">
        <f t="shared" si="13"/>
        <v>2200000</v>
      </c>
      <c r="K34" s="1">
        <f t="shared" si="13"/>
        <v>2680000</v>
      </c>
      <c r="L34" s="1">
        <f t="shared" si="13"/>
        <v>2680000</v>
      </c>
      <c r="M34" s="1">
        <f t="shared" si="13"/>
        <v>2600000</v>
      </c>
      <c r="N34" s="1">
        <f t="shared" si="13"/>
        <v>2680000</v>
      </c>
      <c r="O34" s="1">
        <f t="shared" si="13"/>
        <v>2840000</v>
      </c>
      <c r="P34" s="1">
        <f t="shared" si="13"/>
        <v>2920000</v>
      </c>
      <c r="Q34" s="1">
        <f t="shared" si="13"/>
        <v>2840000</v>
      </c>
      <c r="R34" s="1">
        <f t="shared" si="13"/>
        <v>3124400</v>
      </c>
      <c r="S34" s="1">
        <f t="shared" si="13"/>
        <v>3124400</v>
      </c>
      <c r="T34" s="1">
        <f t="shared" si="13"/>
        <v>3038800</v>
      </c>
      <c r="U34" s="1">
        <f t="shared" si="13"/>
        <v>3124400</v>
      </c>
      <c r="V34" s="1">
        <f t="shared" si="13"/>
        <v>3038800</v>
      </c>
      <c r="W34" s="1">
        <f t="shared" si="13"/>
        <v>3124400</v>
      </c>
      <c r="X34" s="1">
        <f t="shared" si="13"/>
        <v>3124400</v>
      </c>
      <c r="Y34" s="1">
        <f t="shared" si="13"/>
        <v>2867600</v>
      </c>
      <c r="Z34" s="1">
        <f t="shared" si="13"/>
        <v>3124400</v>
      </c>
      <c r="AA34" s="1">
        <f t="shared" si="13"/>
        <v>3038800</v>
      </c>
      <c r="AB34" s="1">
        <f t="shared" si="13"/>
        <v>3124400</v>
      </c>
      <c r="AC34" s="1">
        <f t="shared" si="13"/>
        <v>3038800</v>
      </c>
    </row>
    <row r="35" spans="3:29" ht="21.95" customHeight="1">
      <c r="C35" s="1" t="s">
        <v>166</v>
      </c>
      <c r="D35" s="1"/>
      <c r="E35" s="1"/>
      <c r="F35" s="4">
        <f>F34*Параметры!$D$45</f>
        <v>543600</v>
      </c>
      <c r="G35" s="4">
        <f>G34*Параметры!$D$45</f>
        <v>616080</v>
      </c>
      <c r="H35" s="4">
        <f>H34*Параметры!$D$45</f>
        <v>591920</v>
      </c>
      <c r="I35" s="4">
        <f>I34*Параметры!$D$45</f>
        <v>688560</v>
      </c>
      <c r="J35" s="4">
        <f>J34*Параметры!$D$45</f>
        <v>664400</v>
      </c>
      <c r="K35" s="4">
        <f>K34*Параметры!$D$45</f>
        <v>809360</v>
      </c>
      <c r="L35" s="4">
        <f>L34*Параметры!$D$45</f>
        <v>809360</v>
      </c>
      <c r="M35" s="4">
        <f>M34*Параметры!$D$45</f>
        <v>785200</v>
      </c>
      <c r="N35" s="4">
        <f>N34*Параметры!$D$45</f>
        <v>809360</v>
      </c>
      <c r="O35" s="4">
        <f>O34*Параметры!$D$45</f>
        <v>857680</v>
      </c>
      <c r="P35" s="4">
        <f>P34*Параметры!$D$45</f>
        <v>881840</v>
      </c>
      <c r="Q35" s="4">
        <f>Q34*Параметры!$D$45</f>
        <v>857680</v>
      </c>
      <c r="R35" s="4">
        <f>R34*Параметры!$D$45</f>
        <v>943568.79999999993</v>
      </c>
      <c r="S35" s="4">
        <f>S34*Параметры!$D$45</f>
        <v>943568.79999999993</v>
      </c>
      <c r="T35" s="4">
        <f>T34*Параметры!$D$45</f>
        <v>917717.6</v>
      </c>
      <c r="U35" s="4">
        <f>U34*Параметры!$D$45</f>
        <v>943568.79999999993</v>
      </c>
      <c r="V35" s="4">
        <f>V34*Параметры!$D$45</f>
        <v>917717.6</v>
      </c>
      <c r="W35" s="4">
        <f>W34*Параметры!$D$45</f>
        <v>943568.79999999993</v>
      </c>
      <c r="X35" s="4">
        <f>X34*Параметры!$D$45</f>
        <v>943568.79999999993</v>
      </c>
      <c r="Y35" s="4">
        <f>Y34*Параметры!$D$45</f>
        <v>866015.2</v>
      </c>
      <c r="Z35" s="4">
        <f>Z34*Параметры!$D$45</f>
        <v>943568.79999999993</v>
      </c>
      <c r="AA35" s="4">
        <f>AA34*Параметры!$D$45</f>
        <v>917717.6</v>
      </c>
      <c r="AB35" s="4">
        <f>AB34*Параметры!$D$45</f>
        <v>943568.79999999993</v>
      </c>
      <c r="AC35" s="4">
        <f>AC34*Параметры!$D$45</f>
        <v>917717.6</v>
      </c>
    </row>
    <row r="36" spans="3:29" ht="21.95" customHeight="1">
      <c r="C36" s="33" t="s">
        <v>7</v>
      </c>
      <c r="D36" s="33"/>
      <c r="E36" s="33"/>
      <c r="F36" s="33">
        <f t="shared" ref="F36:AC36" si="14">SUM(F34:F35)</f>
        <v>2343600</v>
      </c>
      <c r="G36" s="33">
        <f t="shared" si="14"/>
        <v>2656080</v>
      </c>
      <c r="H36" s="33">
        <f t="shared" si="14"/>
        <v>2551920</v>
      </c>
      <c r="I36" s="33">
        <f t="shared" si="14"/>
        <v>2968560</v>
      </c>
      <c r="J36" s="33">
        <f t="shared" si="14"/>
        <v>2864400</v>
      </c>
      <c r="K36" s="33">
        <f t="shared" si="14"/>
        <v>3489360</v>
      </c>
      <c r="L36" s="33">
        <f t="shared" si="14"/>
        <v>3489360</v>
      </c>
      <c r="M36" s="33">
        <f t="shared" si="14"/>
        <v>3385200</v>
      </c>
      <c r="N36" s="33">
        <f t="shared" si="14"/>
        <v>3489360</v>
      </c>
      <c r="O36" s="33">
        <f t="shared" si="14"/>
        <v>3697680</v>
      </c>
      <c r="P36" s="33">
        <f t="shared" si="14"/>
        <v>3801840</v>
      </c>
      <c r="Q36" s="33">
        <f t="shared" si="14"/>
        <v>3697680</v>
      </c>
      <c r="R36" s="33">
        <f t="shared" si="14"/>
        <v>4067968.8</v>
      </c>
      <c r="S36" s="33">
        <f t="shared" si="14"/>
        <v>4067968.8</v>
      </c>
      <c r="T36" s="33">
        <f t="shared" si="14"/>
        <v>3956517.6</v>
      </c>
      <c r="U36" s="33">
        <f t="shared" si="14"/>
        <v>4067968.8</v>
      </c>
      <c r="V36" s="33">
        <f t="shared" si="14"/>
        <v>3956517.6</v>
      </c>
      <c r="W36" s="33">
        <f t="shared" si="14"/>
        <v>4067968.8</v>
      </c>
      <c r="X36" s="33">
        <f t="shared" si="14"/>
        <v>4067968.8</v>
      </c>
      <c r="Y36" s="33">
        <f t="shared" si="14"/>
        <v>3733615.2</v>
      </c>
      <c r="Z36" s="33">
        <f t="shared" si="14"/>
        <v>4067968.8</v>
      </c>
      <c r="AA36" s="33">
        <f t="shared" si="14"/>
        <v>3956517.6</v>
      </c>
      <c r="AB36" s="33">
        <f t="shared" si="14"/>
        <v>4067968.8</v>
      </c>
      <c r="AC36" s="33">
        <f t="shared" si="14"/>
        <v>3956517.6</v>
      </c>
    </row>
    <row r="37" spans="3:29" ht="21.95" customHeight="1">
      <c r="C37" s="1" t="s">
        <v>68</v>
      </c>
      <c r="D37" s="1"/>
      <c r="E37" s="1"/>
      <c r="F37" s="4">
        <f>Параметры!$D$46*Параметры!$D$30*(1+Параметры!$D$52)^INT((F6-1)/12)</f>
        <v>530</v>
      </c>
      <c r="G37" s="4">
        <f>Параметры!$D$46*Параметры!$D$30*(1+Параметры!$D$52)^INT((G6-1)/12)</f>
        <v>530</v>
      </c>
      <c r="H37" s="4">
        <f>Параметры!$D$46*Параметры!$D$30*(1+Параметры!$D$52)^INT((H6-1)/12)</f>
        <v>530</v>
      </c>
      <c r="I37" s="4">
        <f>Параметры!$D$46*Параметры!$D$30*(1+Параметры!$D$52)^INT((I6-1)/12)</f>
        <v>530</v>
      </c>
      <c r="J37" s="4">
        <f>Параметры!$D$46*Параметры!$D$30*(1+Параметры!$D$52)^INT((J6-1)/12)</f>
        <v>530</v>
      </c>
      <c r="K37" s="4">
        <f>Параметры!$D$46*Параметры!$D$30*(1+Параметры!$D$52)^INT((K6-1)/12)</f>
        <v>530</v>
      </c>
      <c r="L37" s="4">
        <f>Параметры!$D$46*Параметры!$D$30*(1+Параметры!$D$52)^INT((L6-1)/12)</f>
        <v>530</v>
      </c>
      <c r="M37" s="4">
        <f>Параметры!$D$46*Параметры!$D$30*(1+Параметры!$D$52)^INT((M6-1)/12)</f>
        <v>530</v>
      </c>
      <c r="N37" s="4">
        <f>Параметры!$D$46*Параметры!$D$30*(1+Параметры!$D$52)^INT((N6-1)/12)</f>
        <v>530</v>
      </c>
      <c r="O37" s="4">
        <f>Параметры!$D$46*Параметры!$D$30*(1+Параметры!$D$52)^INT((O6-1)/12)</f>
        <v>530</v>
      </c>
      <c r="P37" s="4">
        <f>Параметры!$D$46*Параметры!$D$30*(1+Параметры!$D$52)^INT((P6-1)/12)</f>
        <v>530</v>
      </c>
      <c r="Q37" s="4">
        <f>Параметры!$D$46*Параметры!$D$30*(1+Параметры!$D$52)^INT((Q6-1)/12)</f>
        <v>530</v>
      </c>
      <c r="R37" s="4">
        <f>Параметры!$D$46*Параметры!$D$30*(1+Параметры!$D$52)^INT((R6-1)/12)</f>
        <v>561.80000000000007</v>
      </c>
      <c r="S37" s="4">
        <f>Параметры!$D$46*Параметры!$D$30*(1+Параметры!$D$52)^INT((S6-1)/12)</f>
        <v>561.80000000000007</v>
      </c>
      <c r="T37" s="4">
        <f>Параметры!$D$46*Параметры!$D$30*(1+Параметры!$D$52)^INT((T6-1)/12)</f>
        <v>561.80000000000007</v>
      </c>
      <c r="U37" s="4">
        <f>Параметры!$D$46*Параметры!$D$30*(1+Параметры!$D$52)^INT((U6-1)/12)</f>
        <v>561.80000000000007</v>
      </c>
      <c r="V37" s="4">
        <f>Параметры!$D$46*Параметры!$D$30*(1+Параметры!$D$52)^INT((V6-1)/12)</f>
        <v>561.80000000000007</v>
      </c>
      <c r="W37" s="4">
        <f>Параметры!$D$46*Параметры!$D$30*(1+Параметры!$D$52)^INT((W6-1)/12)</f>
        <v>561.80000000000007</v>
      </c>
      <c r="X37" s="4">
        <f>Параметры!$D$46*Параметры!$D$30*(1+Параметры!$D$52)^INT((X6-1)/12)</f>
        <v>561.80000000000007</v>
      </c>
      <c r="Y37" s="4">
        <f>Параметры!$D$46*Параметры!$D$30*(1+Параметры!$D$52)^INT((Y6-1)/12)</f>
        <v>561.80000000000007</v>
      </c>
      <c r="Z37" s="4">
        <f>Параметры!$D$46*Параметры!$D$30*(1+Параметры!$D$52)^INT((Z6-1)/12)</f>
        <v>561.80000000000007</v>
      </c>
      <c r="AA37" s="4">
        <f>Параметры!$D$46*Параметры!$D$30*(1+Параметры!$D$52)^INT((AA6-1)/12)</f>
        <v>561.80000000000007</v>
      </c>
      <c r="AB37" s="4">
        <f>Параметры!$D$46*Параметры!$D$30*(1+Параметры!$D$52)^INT((AB6-1)/12)</f>
        <v>561.80000000000007</v>
      </c>
      <c r="AC37" s="4">
        <f>Параметры!$D$46*Параметры!$D$30*(1+Параметры!$D$52)^INT((AC6-1)/12)</f>
        <v>561.80000000000007</v>
      </c>
    </row>
    <row r="38" spans="3:29" ht="21.95" customHeight="1">
      <c r="C38" s="1" t="s">
        <v>167</v>
      </c>
      <c r="D38" s="1"/>
      <c r="E38" s="1"/>
      <c r="F38" s="1">
        <f t="shared" ref="F38:AC38" si="15">F13*F8*F37</f>
        <v>246450</v>
      </c>
      <c r="G38" s="1">
        <f t="shared" si="15"/>
        <v>345030</v>
      </c>
      <c r="H38" s="1">
        <f t="shared" si="15"/>
        <v>429300</v>
      </c>
      <c r="I38" s="1">
        <f t="shared" si="15"/>
        <v>525760</v>
      </c>
      <c r="J38" s="1">
        <f t="shared" si="15"/>
        <v>572400</v>
      </c>
      <c r="K38" s="1">
        <f t="shared" si="15"/>
        <v>657200</v>
      </c>
      <c r="L38" s="1">
        <f t="shared" si="15"/>
        <v>714705</v>
      </c>
      <c r="M38" s="1">
        <f t="shared" si="15"/>
        <v>714705</v>
      </c>
      <c r="N38" s="1">
        <f t="shared" si="15"/>
        <v>805070</v>
      </c>
      <c r="O38" s="1">
        <f t="shared" si="15"/>
        <v>810900</v>
      </c>
      <c r="P38" s="1">
        <f t="shared" si="15"/>
        <v>870790</v>
      </c>
      <c r="Q38" s="1">
        <f t="shared" si="15"/>
        <v>858600</v>
      </c>
      <c r="R38" s="1">
        <f t="shared" si="15"/>
        <v>940453.20000000007</v>
      </c>
      <c r="S38" s="1">
        <f t="shared" si="15"/>
        <v>940453.20000000007</v>
      </c>
      <c r="T38" s="1">
        <f t="shared" si="15"/>
        <v>910116.00000000012</v>
      </c>
      <c r="U38" s="1">
        <f t="shared" si="15"/>
        <v>940453.20000000007</v>
      </c>
      <c r="V38" s="1">
        <f t="shared" si="15"/>
        <v>910116.00000000012</v>
      </c>
      <c r="W38" s="1">
        <f t="shared" si="15"/>
        <v>940453.20000000007</v>
      </c>
      <c r="X38" s="1">
        <f t="shared" si="15"/>
        <v>940453.20000000007</v>
      </c>
      <c r="Y38" s="1">
        <f t="shared" si="15"/>
        <v>849441.60000000009</v>
      </c>
      <c r="Z38" s="1">
        <f t="shared" si="15"/>
        <v>940453.20000000007</v>
      </c>
      <c r="AA38" s="1">
        <f t="shared" si="15"/>
        <v>910116.00000000012</v>
      </c>
      <c r="AB38" s="1">
        <f t="shared" si="15"/>
        <v>940453.20000000007</v>
      </c>
      <c r="AC38" s="1">
        <f t="shared" si="15"/>
        <v>910116.00000000012</v>
      </c>
    </row>
    <row r="39" spans="3:29" ht="21.95" customHeight="1">
      <c r="C39" s="1" t="s">
        <v>168</v>
      </c>
      <c r="D39" s="1"/>
      <c r="E39" s="1"/>
      <c r="F39" s="4">
        <f>Параметры!$D$47*F8*(1+Параметры!$D$52)^INT((F6-1)/12)</f>
        <v>108500</v>
      </c>
      <c r="G39" s="4">
        <f>Параметры!$D$47*G8*(1+Параметры!$D$52)^INT((G6-1)/12)</f>
        <v>108500</v>
      </c>
      <c r="H39" s="4">
        <f>Параметры!$D$47*H8*(1+Параметры!$D$52)^INT((H6-1)/12)</f>
        <v>105000</v>
      </c>
      <c r="I39" s="4">
        <f>Параметры!$D$47*I8*(1+Параметры!$D$52)^INT((I6-1)/12)</f>
        <v>108500</v>
      </c>
      <c r="J39" s="4">
        <f>Параметры!$D$47*J8*(1+Параметры!$D$52)^INT((J6-1)/12)</f>
        <v>105000</v>
      </c>
      <c r="K39" s="4">
        <f>Параметры!$D$47*K8*(1+Параметры!$D$52)^INT((K6-1)/12)</f>
        <v>108500</v>
      </c>
      <c r="L39" s="4">
        <f>Параметры!$D$47*L8*(1+Параметры!$D$52)^INT((L6-1)/12)</f>
        <v>108500</v>
      </c>
      <c r="M39" s="4">
        <f>Параметры!$D$47*M8*(1+Параметры!$D$52)^INT((M6-1)/12)</f>
        <v>101500</v>
      </c>
      <c r="N39" s="4">
        <f>Параметры!$D$47*N8*(1+Параметры!$D$52)^INT((N6-1)/12)</f>
        <v>108500</v>
      </c>
      <c r="O39" s="4">
        <f>Параметры!$D$47*O8*(1+Параметры!$D$52)^INT((O6-1)/12)</f>
        <v>105000</v>
      </c>
      <c r="P39" s="4">
        <f>Параметры!$D$47*P8*(1+Параметры!$D$52)^INT((P6-1)/12)</f>
        <v>108500</v>
      </c>
      <c r="Q39" s="4">
        <f>Параметры!$D$47*Q8*(1+Параметры!$D$52)^INT((Q6-1)/12)</f>
        <v>105000</v>
      </c>
      <c r="R39" s="4">
        <f>Параметры!$D$47*R8*(1+Параметры!$D$52)^INT((R6-1)/12)</f>
        <v>115010</v>
      </c>
      <c r="S39" s="4">
        <f>Параметры!$D$47*S8*(1+Параметры!$D$52)^INT((S6-1)/12)</f>
        <v>115010</v>
      </c>
      <c r="T39" s="4">
        <f>Параметры!$D$47*T8*(1+Параметры!$D$52)^INT((T6-1)/12)</f>
        <v>111300</v>
      </c>
      <c r="U39" s="4">
        <f>Параметры!$D$47*U8*(1+Параметры!$D$52)^INT((U6-1)/12)</f>
        <v>115010</v>
      </c>
      <c r="V39" s="4">
        <f>Параметры!$D$47*V8*(1+Параметры!$D$52)^INT((V6-1)/12)</f>
        <v>111300</v>
      </c>
      <c r="W39" s="4">
        <f>Параметры!$D$47*W8*(1+Параметры!$D$52)^INT((W6-1)/12)</f>
        <v>115010</v>
      </c>
      <c r="X39" s="4">
        <f>Параметры!$D$47*X8*(1+Параметры!$D$52)^INT((X6-1)/12)</f>
        <v>115010</v>
      </c>
      <c r="Y39" s="4">
        <f>Параметры!$D$47*Y8*(1+Параметры!$D$52)^INT((Y6-1)/12)</f>
        <v>103880</v>
      </c>
      <c r="Z39" s="4">
        <f>Параметры!$D$47*Z8*(1+Параметры!$D$52)^INT((Z6-1)/12)</f>
        <v>115010</v>
      </c>
      <c r="AA39" s="4">
        <f>Параметры!$D$47*AA8*(1+Параметры!$D$52)^INT((AA6-1)/12)</f>
        <v>111300</v>
      </c>
      <c r="AB39" s="4">
        <f>Параметры!$D$47*AB8*(1+Параметры!$D$52)^INT((AB6-1)/12)</f>
        <v>115010</v>
      </c>
      <c r="AC39" s="4">
        <f>Параметры!$D$47*AC8*(1+Параметры!$D$52)^INT((AC6-1)/12)</f>
        <v>111300</v>
      </c>
    </row>
    <row r="40" spans="3:29" ht="21.95" customHeight="1">
      <c r="C40" s="1" t="s">
        <v>169</v>
      </c>
      <c r="D40" s="1"/>
      <c r="E40" s="1"/>
      <c r="F40" s="4">
        <f>(Параметры!$D$48+Параметры!$D$68)*(1+Параметры!$D$52)^INT((F6-1)/12)</f>
        <v>550000</v>
      </c>
      <c r="G40" s="4">
        <f>(Параметры!$D$48+Параметры!$D$68)*(1+Параметры!$D$52)^INT((G6-1)/12)</f>
        <v>550000</v>
      </c>
      <c r="H40" s="4">
        <f>(Параметры!$D$48+Параметры!$D$68)*(1+Параметры!$D$52)^INT((H6-1)/12)</f>
        <v>550000</v>
      </c>
      <c r="I40" s="4">
        <f>(Параметры!$D$48+Параметры!$D$68)*(1+Параметры!$D$52)^INT((I6-1)/12)</f>
        <v>550000</v>
      </c>
      <c r="J40" s="4">
        <f>(Параметры!$D$48+Параметры!$D$68)*(1+Параметры!$D$52)^INT((J6-1)/12)</f>
        <v>550000</v>
      </c>
      <c r="K40" s="4">
        <f>(Параметры!$D$48+Параметры!$D$68)*(1+Параметры!$D$52)^INT((K6-1)/12)</f>
        <v>550000</v>
      </c>
      <c r="L40" s="4">
        <f>(Параметры!$D$48+Параметры!$D$68)*(1+Параметры!$D$52)^INT((L6-1)/12)</f>
        <v>550000</v>
      </c>
      <c r="M40" s="4">
        <f>(Параметры!$D$48+Параметры!$D$68)*(1+Параметры!$D$52)^INT((M6-1)/12)</f>
        <v>550000</v>
      </c>
      <c r="N40" s="4">
        <f>(Параметры!$D$48+Параметры!$D$68)*(1+Параметры!$D$52)^INT((N6-1)/12)</f>
        <v>550000</v>
      </c>
      <c r="O40" s="4">
        <f>(Параметры!$D$48+Параметры!$D$68)*(1+Параметры!$D$52)^INT((O6-1)/12)</f>
        <v>550000</v>
      </c>
      <c r="P40" s="4">
        <f>(Параметры!$D$48+Параметры!$D$68)*(1+Параметры!$D$52)^INT((P6-1)/12)</f>
        <v>550000</v>
      </c>
      <c r="Q40" s="4">
        <f>(Параметры!$D$48+Параметры!$D$68)*(1+Параметры!$D$52)^INT((Q6-1)/12)</f>
        <v>550000</v>
      </c>
      <c r="R40" s="4">
        <f>(Параметры!$D$48+Параметры!$D$68)*(1+Параметры!$D$52)^INT((R6-1)/12)</f>
        <v>583000</v>
      </c>
      <c r="S40" s="4">
        <f>(Параметры!$D$48+Параметры!$D$68)*(1+Параметры!$D$52)^INT((S6-1)/12)</f>
        <v>583000</v>
      </c>
      <c r="T40" s="4">
        <f>(Параметры!$D$48+Параметры!$D$68)*(1+Параметры!$D$52)^INT((T6-1)/12)</f>
        <v>583000</v>
      </c>
      <c r="U40" s="4">
        <f>(Параметры!$D$48+Параметры!$D$68)*(1+Параметры!$D$52)^INT((U6-1)/12)</f>
        <v>583000</v>
      </c>
      <c r="V40" s="4">
        <f>(Параметры!$D$48+Параметры!$D$68)*(1+Параметры!$D$52)^INT((V6-1)/12)</f>
        <v>583000</v>
      </c>
      <c r="W40" s="4">
        <f>(Параметры!$D$48+Параметры!$D$68)*(1+Параметры!$D$52)^INT((W6-1)/12)</f>
        <v>583000</v>
      </c>
      <c r="X40" s="4">
        <f>(Параметры!$D$48+Параметры!$D$68)*(1+Параметры!$D$52)^INT((X6-1)/12)</f>
        <v>583000</v>
      </c>
      <c r="Y40" s="4">
        <f>(Параметры!$D$48+Параметры!$D$68)*(1+Параметры!$D$52)^INT((Y6-1)/12)</f>
        <v>583000</v>
      </c>
      <c r="Z40" s="4">
        <f>(Параметры!$D$48+Параметры!$D$68)*(1+Параметры!$D$52)^INT((Z6-1)/12)</f>
        <v>583000</v>
      </c>
      <c r="AA40" s="4">
        <f>(Параметры!$D$48+Параметры!$D$68)*(1+Параметры!$D$52)^INT((AA6-1)/12)</f>
        <v>583000</v>
      </c>
      <c r="AB40" s="4">
        <f>(Параметры!$D$48+Параметры!$D$68)*(1+Параметры!$D$52)^INT((AB6-1)/12)</f>
        <v>583000</v>
      </c>
      <c r="AC40" s="4">
        <f>(Параметры!$D$48+Параметры!$D$68)*(1+Параметры!$D$52)^INT((AC6-1)/12)</f>
        <v>583000</v>
      </c>
    </row>
    <row r="41" spans="3:29" ht="21.95" customHeight="1">
      <c r="C41" s="1" t="s">
        <v>170</v>
      </c>
      <c r="D41" s="1"/>
      <c r="E41" s="1"/>
      <c r="F41" s="4">
        <f>F20*Параметры!$D$49</f>
        <v>18135</v>
      </c>
      <c r="G41" s="4">
        <f>G20*Параметры!$D$49</f>
        <v>25389</v>
      </c>
      <c r="H41" s="4">
        <f>H20*Параметры!$D$49</f>
        <v>31590</v>
      </c>
      <c r="I41" s="4">
        <f>I20*Параметры!$D$49</f>
        <v>38688</v>
      </c>
      <c r="J41" s="4">
        <f>J20*Параметры!$D$49</f>
        <v>42120</v>
      </c>
      <c r="K41" s="4">
        <f>K20*Параметры!$D$49</f>
        <v>48360</v>
      </c>
      <c r="L41" s="4">
        <f>L20*Параметры!$D$49</f>
        <v>52591.5</v>
      </c>
      <c r="M41" s="4">
        <f>M20*Параметры!$D$49</f>
        <v>52591.5</v>
      </c>
      <c r="N41" s="4">
        <f>N20*Параметры!$D$49</f>
        <v>59241</v>
      </c>
      <c r="O41" s="4">
        <f>O20*Параметры!$D$49</f>
        <v>59670</v>
      </c>
      <c r="P41" s="4">
        <f>P20*Параметры!$D$49</f>
        <v>64077</v>
      </c>
      <c r="Q41" s="4">
        <f>Q20*Параметры!$D$49</f>
        <v>63180</v>
      </c>
      <c r="R41" s="4">
        <f>R20*Параметры!$D$49</f>
        <v>69203.16</v>
      </c>
      <c r="S41" s="4">
        <f>S20*Параметры!$D$49</f>
        <v>69203.16</v>
      </c>
      <c r="T41" s="4">
        <f>T20*Параметры!$D$49</f>
        <v>66970.8</v>
      </c>
      <c r="U41" s="4">
        <f>U20*Параметры!$D$49</f>
        <v>69203.16</v>
      </c>
      <c r="V41" s="4">
        <f>V20*Параметры!$D$49</f>
        <v>66970.8</v>
      </c>
      <c r="W41" s="4">
        <f>W20*Параметры!$D$49</f>
        <v>69203.16</v>
      </c>
      <c r="X41" s="4">
        <f>X20*Параметры!$D$49</f>
        <v>69203.16</v>
      </c>
      <c r="Y41" s="4">
        <f>Y20*Параметры!$D$49</f>
        <v>62506.080000000002</v>
      </c>
      <c r="Z41" s="4">
        <f>Z20*Параметры!$D$49</f>
        <v>69203.16</v>
      </c>
      <c r="AA41" s="4">
        <f>AA20*Параметры!$D$49</f>
        <v>66970.8</v>
      </c>
      <c r="AB41" s="4">
        <f>AB20*Параметры!$D$49</f>
        <v>69203.16</v>
      </c>
      <c r="AC41" s="4">
        <f>AC20*Параметры!$D$49</f>
        <v>66970.8</v>
      </c>
    </row>
    <row r="42" spans="3:29" ht="21.95" customHeight="1">
      <c r="C42" s="30" t="s">
        <v>171</v>
      </c>
      <c r="D42" s="30"/>
      <c r="E42" s="30"/>
      <c r="F42" s="32">
        <f>IF(Параметры!$D$69=0,1,IF(F6&lt;=3,0,IF(F6&lt;=6,0.5,1)))</f>
        <v>1</v>
      </c>
      <c r="G42" s="32">
        <f>IF(Параметры!$D$69=0,1,IF(G6&lt;=3,0,IF(G6&lt;=6,0.5,1)))</f>
        <v>1</v>
      </c>
      <c r="H42" s="32">
        <f>IF(Параметры!$D$69=0,1,IF(H6&lt;=3,0,IF(H6&lt;=6,0.5,1)))</f>
        <v>1</v>
      </c>
      <c r="I42" s="32">
        <f>IF(Параметры!$D$69=0,1,IF(I6&lt;=3,0,IF(I6&lt;=6,0.5,1)))</f>
        <v>1</v>
      </c>
      <c r="J42" s="32">
        <f>IF(Параметры!$D$69=0,1,IF(J6&lt;=3,0,IF(J6&lt;=6,0.5,1)))</f>
        <v>1</v>
      </c>
      <c r="K42" s="32">
        <f>IF(Параметры!$D$69=0,1,IF(K6&lt;=3,0,IF(K6&lt;=6,0.5,1)))</f>
        <v>1</v>
      </c>
      <c r="L42" s="32">
        <f>IF(Параметры!$D$69=0,1,IF(L6&lt;=3,0,IF(L6&lt;=6,0.5,1)))</f>
        <v>1</v>
      </c>
      <c r="M42" s="32">
        <f>IF(Параметры!$D$69=0,1,IF(M6&lt;=3,0,IF(M6&lt;=6,0.5,1)))</f>
        <v>1</v>
      </c>
      <c r="N42" s="32">
        <f>IF(Параметры!$D$69=0,1,IF(N6&lt;=3,0,IF(N6&lt;=6,0.5,1)))</f>
        <v>1</v>
      </c>
      <c r="O42" s="32">
        <f>IF(Параметры!$D$69=0,1,IF(O6&lt;=3,0,IF(O6&lt;=6,0.5,1)))</f>
        <v>1</v>
      </c>
      <c r="P42" s="32">
        <f>IF(Параметры!$D$69=0,1,IF(P6&lt;=3,0,IF(P6&lt;=6,0.5,1)))</f>
        <v>1</v>
      </c>
      <c r="Q42" s="32">
        <f>IF(Параметры!$D$69=0,1,IF(Q6&lt;=3,0,IF(Q6&lt;=6,0.5,1)))</f>
        <v>1</v>
      </c>
      <c r="R42" s="32">
        <f>IF(Параметры!$D$69=0,1,IF(R6&lt;=3,0,IF(R6&lt;=6,0.5,1)))</f>
        <v>1</v>
      </c>
      <c r="S42" s="32">
        <f>IF(Параметры!$D$69=0,1,IF(S6&lt;=3,0,IF(S6&lt;=6,0.5,1)))</f>
        <v>1</v>
      </c>
      <c r="T42" s="32">
        <f>IF(Параметры!$D$69=0,1,IF(T6&lt;=3,0,IF(T6&lt;=6,0.5,1)))</f>
        <v>1</v>
      </c>
      <c r="U42" s="32">
        <f>IF(Параметры!$D$69=0,1,IF(U6&lt;=3,0,IF(U6&lt;=6,0.5,1)))</f>
        <v>1</v>
      </c>
      <c r="V42" s="32">
        <f>IF(Параметры!$D$69=0,1,IF(V6&lt;=3,0,IF(V6&lt;=6,0.5,1)))</f>
        <v>1</v>
      </c>
      <c r="W42" s="32">
        <f>IF(Параметры!$D$69=0,1,IF(W6&lt;=3,0,IF(W6&lt;=6,0.5,1)))</f>
        <v>1</v>
      </c>
      <c r="X42" s="32">
        <f>IF(Параметры!$D$69=0,1,IF(X6&lt;=3,0,IF(X6&lt;=6,0.5,1)))</f>
        <v>1</v>
      </c>
      <c r="Y42" s="32">
        <f>IF(Параметры!$D$69=0,1,IF(Y6&lt;=3,0,IF(Y6&lt;=6,0.5,1)))</f>
        <v>1</v>
      </c>
      <c r="Z42" s="32">
        <f>IF(Параметры!$D$69=0,1,IF(Z6&lt;=3,0,IF(Z6&lt;=6,0.5,1)))</f>
        <v>1</v>
      </c>
      <c r="AA42" s="32">
        <f>IF(Параметры!$D$69=0,1,IF(AA6&lt;=3,0,IF(AA6&lt;=6,0.5,1)))</f>
        <v>1</v>
      </c>
      <c r="AB42" s="32">
        <f>IF(Параметры!$D$69=0,1,IF(AB6&lt;=3,0,IF(AB6&lt;=6,0.5,1)))</f>
        <v>1</v>
      </c>
      <c r="AC42" s="32">
        <f>IF(Параметры!$D$69=0,1,IF(AC6&lt;=3,0,IF(AC6&lt;=6,0.5,1)))</f>
        <v>1</v>
      </c>
    </row>
    <row r="43" spans="3:29" ht="21.95" customHeight="1">
      <c r="C43" s="1" t="s">
        <v>172</v>
      </c>
      <c r="D43" s="1"/>
      <c r="E43" s="1"/>
      <c r="F43" s="4">
        <f>Параметры!$D$41*F42*(1+Параметры!$D$53)^INT((F6-1)/12)</f>
        <v>1290170</v>
      </c>
      <c r="G43" s="4">
        <f>Параметры!$D$41*G42*(1+Параметры!$D$53)^INT((G6-1)/12)</f>
        <v>1290170</v>
      </c>
      <c r="H43" s="4">
        <f>Параметры!$D$41*H42*(1+Параметры!$D$53)^INT((H6-1)/12)</f>
        <v>1290170</v>
      </c>
      <c r="I43" s="4">
        <f>Параметры!$D$41*I42*(1+Параметры!$D$53)^INT((I6-1)/12)</f>
        <v>1290170</v>
      </c>
      <c r="J43" s="4">
        <f>Параметры!$D$41*J42*(1+Параметры!$D$53)^INT((J6-1)/12)</f>
        <v>1290170</v>
      </c>
      <c r="K43" s="4">
        <f>Параметры!$D$41*K42*(1+Параметры!$D$53)^INT((K6-1)/12)</f>
        <v>1290170</v>
      </c>
      <c r="L43" s="4">
        <f>Параметры!$D$41*L42*(1+Параметры!$D$53)^INT((L6-1)/12)</f>
        <v>1290170</v>
      </c>
      <c r="M43" s="4">
        <f>Параметры!$D$41*M42*(1+Параметры!$D$53)^INT((M6-1)/12)</f>
        <v>1290170</v>
      </c>
      <c r="N43" s="4">
        <f>Параметры!$D$41*N42*(1+Параметры!$D$53)^INT((N6-1)/12)</f>
        <v>1290170</v>
      </c>
      <c r="O43" s="4">
        <f>Параметры!$D$41*O42*(1+Параметры!$D$53)^INT((O6-1)/12)</f>
        <v>1290170</v>
      </c>
      <c r="P43" s="4">
        <f>Параметры!$D$41*P42*(1+Параметры!$D$53)^INT((P6-1)/12)</f>
        <v>1290170</v>
      </c>
      <c r="Q43" s="4">
        <f>Параметры!$D$41*Q42*(1+Параметры!$D$53)^INT((Q6-1)/12)</f>
        <v>1290170</v>
      </c>
      <c r="R43" s="4">
        <f>Параметры!$D$41*R42*(1+Параметры!$D$53)^INT((R6-1)/12)</f>
        <v>1354678.5</v>
      </c>
      <c r="S43" s="4">
        <f>Параметры!$D$41*S42*(1+Параметры!$D$53)^INT((S6-1)/12)</f>
        <v>1354678.5</v>
      </c>
      <c r="T43" s="4">
        <f>Параметры!$D$41*T42*(1+Параметры!$D$53)^INT((T6-1)/12)</f>
        <v>1354678.5</v>
      </c>
      <c r="U43" s="4">
        <f>Параметры!$D$41*U42*(1+Параметры!$D$53)^INT((U6-1)/12)</f>
        <v>1354678.5</v>
      </c>
      <c r="V43" s="4">
        <f>Параметры!$D$41*V42*(1+Параметры!$D$53)^INT((V6-1)/12)</f>
        <v>1354678.5</v>
      </c>
      <c r="W43" s="4">
        <f>Параметры!$D$41*W42*(1+Параметры!$D$53)^INT((W6-1)/12)</f>
        <v>1354678.5</v>
      </c>
      <c r="X43" s="4">
        <f>Параметры!$D$41*X42*(1+Параметры!$D$53)^INT((X6-1)/12)</f>
        <v>1354678.5</v>
      </c>
      <c r="Y43" s="4">
        <f>Параметры!$D$41*Y42*(1+Параметры!$D$53)^INT((Y6-1)/12)</f>
        <v>1354678.5</v>
      </c>
      <c r="Z43" s="4">
        <f>Параметры!$D$41*Z42*(1+Параметры!$D$53)^INT((Z6-1)/12)</f>
        <v>1354678.5</v>
      </c>
      <c r="AA43" s="4">
        <f>Параметры!$D$41*AA42*(1+Параметры!$D$53)^INT((AA6-1)/12)</f>
        <v>1354678.5</v>
      </c>
      <c r="AB43" s="4">
        <f>Параметры!$D$41*AB42*(1+Параметры!$D$53)^INT((AB6-1)/12)</f>
        <v>1354678.5</v>
      </c>
      <c r="AC43" s="4">
        <f>Параметры!$D$41*AC42*(1+Параметры!$D$53)^INT((AC6-1)/12)</f>
        <v>1354678.5</v>
      </c>
    </row>
    <row r="44" spans="3:29" ht="21.95" customHeight="1">
      <c r="C44" s="1" t="s">
        <v>173</v>
      </c>
      <c r="D44" s="1"/>
      <c r="E44" s="1"/>
      <c r="F44" s="1">
        <f t="shared" ref="F44:AC44" si="16">SUM(F36,F38:F41)</f>
        <v>3266685</v>
      </c>
      <c r="G44" s="1">
        <f t="shared" si="16"/>
        <v>3684999</v>
      </c>
      <c r="H44" s="1">
        <f t="shared" si="16"/>
        <v>3667810</v>
      </c>
      <c r="I44" s="1">
        <f t="shared" si="16"/>
        <v>4191508</v>
      </c>
      <c r="J44" s="1">
        <f t="shared" si="16"/>
        <v>4133920</v>
      </c>
      <c r="K44" s="1">
        <f t="shared" si="16"/>
        <v>4853420</v>
      </c>
      <c r="L44" s="1">
        <f t="shared" si="16"/>
        <v>4915156.5</v>
      </c>
      <c r="M44" s="1">
        <f t="shared" si="16"/>
        <v>4803996.5</v>
      </c>
      <c r="N44" s="1">
        <f t="shared" si="16"/>
        <v>5012171</v>
      </c>
      <c r="O44" s="1">
        <f t="shared" si="16"/>
        <v>5223250</v>
      </c>
      <c r="P44" s="1">
        <f t="shared" si="16"/>
        <v>5395207</v>
      </c>
      <c r="Q44" s="1">
        <f t="shared" si="16"/>
        <v>5274460</v>
      </c>
      <c r="R44" s="1">
        <f t="shared" si="16"/>
        <v>5775635.1600000001</v>
      </c>
      <c r="S44" s="1">
        <f t="shared" si="16"/>
        <v>5775635.1600000001</v>
      </c>
      <c r="T44" s="1">
        <f t="shared" si="16"/>
        <v>5627904.4000000004</v>
      </c>
      <c r="U44" s="1">
        <f t="shared" si="16"/>
        <v>5775635.1600000001</v>
      </c>
      <c r="V44" s="1">
        <f t="shared" si="16"/>
        <v>5627904.4000000004</v>
      </c>
      <c r="W44" s="1">
        <f t="shared" si="16"/>
        <v>5775635.1600000001</v>
      </c>
      <c r="X44" s="1">
        <f t="shared" si="16"/>
        <v>5775635.1600000001</v>
      </c>
      <c r="Y44" s="1">
        <f t="shared" si="16"/>
        <v>5332442.8800000008</v>
      </c>
      <c r="Z44" s="1">
        <f t="shared" si="16"/>
        <v>5775635.1600000001</v>
      </c>
      <c r="AA44" s="1">
        <f t="shared" si="16"/>
        <v>5627904.4000000004</v>
      </c>
      <c r="AB44" s="1">
        <f t="shared" si="16"/>
        <v>5775635.1600000001</v>
      </c>
      <c r="AC44" s="1">
        <f t="shared" si="16"/>
        <v>5627904.4000000004</v>
      </c>
    </row>
    <row r="45" spans="3:29" ht="21.95" customHeight="1">
      <c r="C45" s="33" t="s">
        <v>174</v>
      </c>
      <c r="D45" s="33"/>
      <c r="E45" s="33"/>
      <c r="F45" s="33">
        <f t="shared" ref="F45:AC45" si="17">SUM(F43:F44)</f>
        <v>4556855</v>
      </c>
      <c r="G45" s="33">
        <f t="shared" si="17"/>
        <v>4975169</v>
      </c>
      <c r="H45" s="33">
        <f t="shared" si="17"/>
        <v>4957980</v>
      </c>
      <c r="I45" s="33">
        <f t="shared" si="17"/>
        <v>5481678</v>
      </c>
      <c r="J45" s="33">
        <f t="shared" si="17"/>
        <v>5424090</v>
      </c>
      <c r="K45" s="33">
        <f t="shared" si="17"/>
        <v>6143590</v>
      </c>
      <c r="L45" s="33">
        <f t="shared" si="17"/>
        <v>6205326.5</v>
      </c>
      <c r="M45" s="33">
        <f t="shared" si="17"/>
        <v>6094166.5</v>
      </c>
      <c r="N45" s="33">
        <f t="shared" si="17"/>
        <v>6302341</v>
      </c>
      <c r="O45" s="33">
        <f t="shared" si="17"/>
        <v>6513420</v>
      </c>
      <c r="P45" s="33">
        <f t="shared" si="17"/>
        <v>6685377</v>
      </c>
      <c r="Q45" s="33">
        <f t="shared" si="17"/>
        <v>6564630</v>
      </c>
      <c r="R45" s="33">
        <f t="shared" si="17"/>
        <v>7130313.6600000001</v>
      </c>
      <c r="S45" s="33">
        <f t="shared" si="17"/>
        <v>7130313.6600000001</v>
      </c>
      <c r="T45" s="33">
        <f t="shared" si="17"/>
        <v>6982582.9000000004</v>
      </c>
      <c r="U45" s="33">
        <f t="shared" si="17"/>
        <v>7130313.6600000001</v>
      </c>
      <c r="V45" s="33">
        <f t="shared" si="17"/>
        <v>6982582.9000000004</v>
      </c>
      <c r="W45" s="33">
        <f t="shared" si="17"/>
        <v>7130313.6600000001</v>
      </c>
      <c r="X45" s="33">
        <f t="shared" si="17"/>
        <v>7130313.6600000001</v>
      </c>
      <c r="Y45" s="33">
        <f t="shared" si="17"/>
        <v>6687121.3800000008</v>
      </c>
      <c r="Z45" s="33">
        <f t="shared" si="17"/>
        <v>7130313.6600000001</v>
      </c>
      <c r="AA45" s="33">
        <f t="shared" si="17"/>
        <v>6982582.9000000004</v>
      </c>
      <c r="AB45" s="33">
        <f t="shared" si="17"/>
        <v>7130313.6600000001</v>
      </c>
      <c r="AC45" s="33">
        <f t="shared" si="17"/>
        <v>6982582.9000000004</v>
      </c>
    </row>
    <row r="46" spans="3:29" ht="21.95" customHeight="1">
      <c r="C46" s="33" t="s">
        <v>175</v>
      </c>
      <c r="D46" s="33"/>
      <c r="E46" s="33"/>
      <c r="F46" s="33">
        <f t="shared" ref="F46:AC46" si="18">F26-F45</f>
        <v>-2743355</v>
      </c>
      <c r="G46" s="33">
        <f t="shared" si="18"/>
        <v>-2436269</v>
      </c>
      <c r="H46" s="33">
        <f t="shared" si="18"/>
        <v>-1798980</v>
      </c>
      <c r="I46" s="33">
        <f t="shared" si="18"/>
        <v>-1612878</v>
      </c>
      <c r="J46" s="33">
        <f t="shared" si="18"/>
        <v>-1212090</v>
      </c>
      <c r="K46" s="33">
        <f t="shared" si="18"/>
        <v>-1307590</v>
      </c>
      <c r="L46" s="33">
        <f t="shared" si="18"/>
        <v>-1196612.2142857146</v>
      </c>
      <c r="M46" s="33">
        <f t="shared" si="18"/>
        <v>-1085452.2142857146</v>
      </c>
      <c r="N46" s="33">
        <f t="shared" si="18"/>
        <v>-660341</v>
      </c>
      <c r="O46" s="33">
        <f t="shared" si="18"/>
        <v>-830562.85714285728</v>
      </c>
      <c r="P46" s="33">
        <f t="shared" si="18"/>
        <v>-582805.57142857183</v>
      </c>
      <c r="Q46" s="33">
        <f t="shared" si="18"/>
        <v>-547487.14285714272</v>
      </c>
      <c r="R46" s="33">
        <f t="shared" si="18"/>
        <v>-539536.51714285742</v>
      </c>
      <c r="S46" s="33">
        <f t="shared" si="18"/>
        <v>-539536.51714285742</v>
      </c>
      <c r="T46" s="33">
        <f t="shared" si="18"/>
        <v>-604411.4714285722</v>
      </c>
      <c r="U46" s="33">
        <f t="shared" si="18"/>
        <v>-539536.51714285742</v>
      </c>
      <c r="V46" s="33">
        <f t="shared" si="18"/>
        <v>-604411.4714285722</v>
      </c>
      <c r="W46" s="33">
        <f t="shared" si="18"/>
        <v>-539536.51714285742</v>
      </c>
      <c r="X46" s="33">
        <f t="shared" si="18"/>
        <v>-539536.51714285742</v>
      </c>
      <c r="Y46" s="33">
        <f t="shared" si="18"/>
        <v>-734161.38000000082</v>
      </c>
      <c r="Z46" s="33">
        <f t="shared" si="18"/>
        <v>-539536.51714285742</v>
      </c>
      <c r="AA46" s="33">
        <f t="shared" si="18"/>
        <v>-604411.4714285722</v>
      </c>
      <c r="AB46" s="33">
        <f t="shared" si="18"/>
        <v>-539536.51714285742</v>
      </c>
      <c r="AC46" s="33">
        <f t="shared" si="18"/>
        <v>-604411.4714285722</v>
      </c>
    </row>
    <row r="47" spans="3:29" ht="21.95" customHeight="1">
      <c r="C47" s="1" t="s">
        <v>10</v>
      </c>
      <c r="D47" s="1"/>
      <c r="E47" s="1"/>
      <c r="F47" s="4">
        <f>MAX(F46*Параметры!$D$58,F26*Параметры!$D$59)</f>
        <v>18135</v>
      </c>
      <c r="G47" s="4">
        <f>MAX(G46*Параметры!$D$58,G26*Параметры!$D$59)</f>
        <v>25389</v>
      </c>
      <c r="H47" s="4">
        <f>MAX(H46*Параметры!$D$58,H26*Параметры!$D$59)</f>
        <v>31590</v>
      </c>
      <c r="I47" s="4">
        <f>MAX(I46*Параметры!$D$58,I26*Параметры!$D$59)</f>
        <v>38688</v>
      </c>
      <c r="J47" s="4">
        <f>MAX(J46*Параметры!$D$58,J26*Параметры!$D$59)</f>
        <v>42120</v>
      </c>
      <c r="K47" s="4">
        <f>MAX(K46*Параметры!$D$58,K26*Параметры!$D$59)</f>
        <v>48360</v>
      </c>
      <c r="L47" s="4">
        <f>MAX(L46*Параметры!$D$58,L26*Параметры!$D$59)</f>
        <v>50087.142857142855</v>
      </c>
      <c r="M47" s="4">
        <f>MAX(M46*Параметры!$D$58,M26*Параметры!$D$59)</f>
        <v>50087.142857142855</v>
      </c>
      <c r="N47" s="4">
        <f>MAX(N46*Параметры!$D$58,N26*Параметры!$D$59)</f>
        <v>56420</v>
      </c>
      <c r="O47" s="4">
        <f>MAX(O46*Параметры!$D$58,O26*Параметры!$D$59)</f>
        <v>56828.571428571428</v>
      </c>
      <c r="P47" s="4">
        <f>MAX(P46*Параметры!$D$58,P26*Параметры!$D$59)</f>
        <v>61025.714285714283</v>
      </c>
      <c r="Q47" s="4">
        <f>MAX(Q46*Параметры!$D$58,Q26*Параметры!$D$59)</f>
        <v>60171.428571428572</v>
      </c>
      <c r="R47" s="4">
        <f>MAX(R46*Параметры!$D$58,R26*Параметры!$D$59)</f>
        <v>65907.771428571432</v>
      </c>
      <c r="S47" s="4">
        <f>MAX(S46*Параметры!$D$58,S26*Параметры!$D$59)</f>
        <v>65907.771428571432</v>
      </c>
      <c r="T47" s="4">
        <f>MAX(T46*Параметры!$D$58,T26*Параметры!$D$59)</f>
        <v>63781.714285714283</v>
      </c>
      <c r="U47" s="4">
        <f>MAX(U46*Параметры!$D$58,U26*Параметры!$D$59)</f>
        <v>65907.771428571432</v>
      </c>
      <c r="V47" s="4">
        <f>MAX(V46*Параметры!$D$58,V26*Параметры!$D$59)</f>
        <v>63781.714285714283</v>
      </c>
      <c r="W47" s="4">
        <f>MAX(W46*Параметры!$D$58,W26*Параметры!$D$59)</f>
        <v>65907.771428571432</v>
      </c>
      <c r="X47" s="4">
        <f>MAX(X46*Параметры!$D$58,X26*Параметры!$D$59)</f>
        <v>65907.771428571432</v>
      </c>
      <c r="Y47" s="4">
        <f>MAX(Y46*Параметры!$D$58,Y26*Параметры!$D$59)</f>
        <v>59529.599999999999</v>
      </c>
      <c r="Z47" s="4">
        <f>MAX(Z46*Параметры!$D$58,Z26*Параметры!$D$59)</f>
        <v>65907.771428571432</v>
      </c>
      <c r="AA47" s="4">
        <f>MAX(AA46*Параметры!$D$58,AA26*Параметры!$D$59)</f>
        <v>63781.714285714283</v>
      </c>
      <c r="AB47" s="4">
        <f>MAX(AB46*Параметры!$D$58,AB26*Параметры!$D$59)</f>
        <v>65907.771428571432</v>
      </c>
      <c r="AC47" s="4">
        <f>MAX(AC46*Параметры!$D$58,AC26*Параметры!$D$59)</f>
        <v>63781.714285714283</v>
      </c>
    </row>
    <row r="48" spans="3:29" ht="21.95" customHeight="1">
      <c r="C48" s="1" t="s">
        <v>176</v>
      </c>
      <c r="D48" s="1"/>
      <c r="E48" s="1"/>
      <c r="F48" s="4">
        <f>Параметры!F87</f>
        <v>0</v>
      </c>
      <c r="G48" s="4">
        <f>Параметры!G87</f>
        <v>0</v>
      </c>
      <c r="H48" s="4">
        <f>Параметры!H87</f>
        <v>0</v>
      </c>
      <c r="I48" s="4">
        <f>Параметры!I87</f>
        <v>0</v>
      </c>
      <c r="J48" s="4">
        <f>Параметры!J87</f>
        <v>0</v>
      </c>
      <c r="K48" s="4">
        <f>Параметры!K87</f>
        <v>0</v>
      </c>
      <c r="L48" s="4">
        <f>Параметры!L87</f>
        <v>0</v>
      </c>
      <c r="M48" s="4">
        <f>Параметры!M87</f>
        <v>0</v>
      </c>
      <c r="N48" s="4">
        <f>Параметры!N87</f>
        <v>0</v>
      </c>
      <c r="O48" s="4">
        <f>Параметры!O87</f>
        <v>0</v>
      </c>
      <c r="P48" s="4">
        <f>Параметры!P87</f>
        <v>0</v>
      </c>
      <c r="Q48" s="4">
        <f>Параметры!Q87</f>
        <v>0</v>
      </c>
      <c r="R48" s="4">
        <f>Параметры!R87</f>
        <v>0</v>
      </c>
      <c r="S48" s="4">
        <f>Параметры!S87</f>
        <v>0</v>
      </c>
      <c r="T48" s="4">
        <f>Параметры!T87</f>
        <v>0</v>
      </c>
      <c r="U48" s="4">
        <f>Параметры!U87</f>
        <v>0</v>
      </c>
      <c r="V48" s="4">
        <f>Параметры!V87</f>
        <v>0</v>
      </c>
      <c r="W48" s="4">
        <f>Параметры!W87</f>
        <v>0</v>
      </c>
      <c r="X48" s="4">
        <f>Параметры!X87</f>
        <v>0</v>
      </c>
      <c r="Y48" s="4">
        <f>Параметры!Y87</f>
        <v>0</v>
      </c>
      <c r="Z48" s="4">
        <f>Параметры!Z87</f>
        <v>0</v>
      </c>
      <c r="AA48" s="4">
        <f>Параметры!AA87</f>
        <v>0</v>
      </c>
      <c r="AB48" s="4">
        <f>Параметры!AB87</f>
        <v>0</v>
      </c>
      <c r="AC48" s="4">
        <f>Параметры!AC87</f>
        <v>0</v>
      </c>
    </row>
    <row r="49" spans="3:29" ht="21.95" customHeight="1">
      <c r="C49" s="33" t="s">
        <v>177</v>
      </c>
      <c r="D49" s="33"/>
      <c r="E49" s="33"/>
      <c r="F49" s="33">
        <f t="shared" ref="F49:AC49" si="19">F46-F47-F48</f>
        <v>-2761490</v>
      </c>
      <c r="G49" s="33">
        <f t="shared" si="19"/>
        <v>-2461658</v>
      </c>
      <c r="H49" s="33">
        <f t="shared" si="19"/>
        <v>-1830570</v>
      </c>
      <c r="I49" s="33">
        <f t="shared" si="19"/>
        <v>-1651566</v>
      </c>
      <c r="J49" s="33">
        <f t="shared" si="19"/>
        <v>-1254210</v>
      </c>
      <c r="K49" s="33">
        <f t="shared" si="19"/>
        <v>-1355950</v>
      </c>
      <c r="L49" s="33">
        <f t="shared" si="19"/>
        <v>-1246699.3571428575</v>
      </c>
      <c r="M49" s="33">
        <f t="shared" si="19"/>
        <v>-1135539.3571428575</v>
      </c>
      <c r="N49" s="33">
        <f t="shared" si="19"/>
        <v>-716761</v>
      </c>
      <c r="O49" s="33">
        <f t="shared" si="19"/>
        <v>-887391.42857142875</v>
      </c>
      <c r="P49" s="33">
        <f t="shared" si="19"/>
        <v>-643831.28571428615</v>
      </c>
      <c r="Q49" s="33">
        <f t="shared" si="19"/>
        <v>-607658.57142857125</v>
      </c>
      <c r="R49" s="33">
        <f t="shared" si="19"/>
        <v>-605444.28857142886</v>
      </c>
      <c r="S49" s="33">
        <f t="shared" si="19"/>
        <v>-605444.28857142886</v>
      </c>
      <c r="T49" s="33">
        <f t="shared" si="19"/>
        <v>-668193.18571428652</v>
      </c>
      <c r="U49" s="33">
        <f t="shared" si="19"/>
        <v>-605444.28857142886</v>
      </c>
      <c r="V49" s="33">
        <f t="shared" si="19"/>
        <v>-668193.18571428652</v>
      </c>
      <c r="W49" s="33">
        <f t="shared" si="19"/>
        <v>-605444.28857142886</v>
      </c>
      <c r="X49" s="33">
        <f t="shared" si="19"/>
        <v>-605444.28857142886</v>
      </c>
      <c r="Y49" s="33">
        <f t="shared" si="19"/>
        <v>-793690.9800000008</v>
      </c>
      <c r="Z49" s="33">
        <f t="shared" si="19"/>
        <v>-605444.28857142886</v>
      </c>
      <c r="AA49" s="33">
        <f t="shared" si="19"/>
        <v>-668193.18571428652</v>
      </c>
      <c r="AB49" s="33">
        <f t="shared" si="19"/>
        <v>-605444.28857142886</v>
      </c>
      <c r="AC49" s="33">
        <f t="shared" si="19"/>
        <v>-668193.18571428652</v>
      </c>
    </row>
    <row r="50" spans="3:29" ht="21.95" customHeight="1">
      <c r="C50" s="33" t="s">
        <v>178</v>
      </c>
      <c r="D50" s="33"/>
      <c r="E50" s="33"/>
      <c r="F50" s="33">
        <f>F49</f>
        <v>-2761490</v>
      </c>
      <c r="G50" s="33">
        <f t="shared" ref="G50:AC50" si="20">F50+G49</f>
        <v>-5223148</v>
      </c>
      <c r="H50" s="33">
        <f t="shared" si="20"/>
        <v>-7053718</v>
      </c>
      <c r="I50" s="33">
        <f t="shared" si="20"/>
        <v>-8705284</v>
      </c>
      <c r="J50" s="33">
        <f t="shared" si="20"/>
        <v>-9959494</v>
      </c>
      <c r="K50" s="33">
        <f t="shared" si="20"/>
        <v>-11315444</v>
      </c>
      <c r="L50" s="33">
        <f t="shared" si="20"/>
        <v>-12562143.357142858</v>
      </c>
      <c r="M50" s="33">
        <f t="shared" si="20"/>
        <v>-13697682.714285716</v>
      </c>
      <c r="N50" s="33">
        <f t="shared" si="20"/>
        <v>-14414443.714285716</v>
      </c>
      <c r="O50" s="33">
        <f t="shared" si="20"/>
        <v>-15301835.142857146</v>
      </c>
      <c r="P50" s="33">
        <f t="shared" si="20"/>
        <v>-15945666.428571431</v>
      </c>
      <c r="Q50" s="33">
        <f t="shared" si="20"/>
        <v>-16553325.000000002</v>
      </c>
      <c r="R50" s="33">
        <f t="shared" si="20"/>
        <v>-17158769.288571432</v>
      </c>
      <c r="S50" s="33">
        <f t="shared" si="20"/>
        <v>-17764213.577142861</v>
      </c>
      <c r="T50" s="33">
        <f t="shared" si="20"/>
        <v>-18432406.762857147</v>
      </c>
      <c r="U50" s="33">
        <f t="shared" si="20"/>
        <v>-19037851.051428575</v>
      </c>
      <c r="V50" s="33">
        <f t="shared" si="20"/>
        <v>-19706044.237142861</v>
      </c>
      <c r="W50" s="33">
        <f t="shared" si="20"/>
        <v>-20311488.525714289</v>
      </c>
      <c r="X50" s="33">
        <f t="shared" si="20"/>
        <v>-20916932.814285718</v>
      </c>
      <c r="Y50" s="33">
        <f t="shared" si="20"/>
        <v>-21710623.794285718</v>
      </c>
      <c r="Z50" s="33">
        <f t="shared" si="20"/>
        <v>-22316068.082857147</v>
      </c>
      <c r="AA50" s="33">
        <f t="shared" si="20"/>
        <v>-22984261.268571433</v>
      </c>
      <c r="AB50" s="33">
        <f t="shared" si="20"/>
        <v>-23589705.557142861</v>
      </c>
      <c r="AC50" s="33">
        <f t="shared" si="20"/>
        <v>-24257898.742857147</v>
      </c>
    </row>
    <row r="51" spans="3:29" ht="21.95" customHeight="1">
      <c r="C51" s="33" t="s">
        <v>179</v>
      </c>
      <c r="D51" s="33"/>
      <c r="E51" s="33"/>
      <c r="F51" s="34">
        <f>Параметры!$D$63+F50</f>
        <v>5238510</v>
      </c>
      <c r="G51" s="34">
        <f>Параметры!$D$63+G50</f>
        <v>2776852</v>
      </c>
      <c r="H51" s="34">
        <f>Параметры!$D$63+H50</f>
        <v>946282</v>
      </c>
      <c r="I51" s="34">
        <f>Параметры!$D$63+I50</f>
        <v>-705284</v>
      </c>
      <c r="J51" s="34">
        <f>Параметры!$D$63+J50</f>
        <v>-1959494</v>
      </c>
      <c r="K51" s="34">
        <f>Параметры!$D$63+K50</f>
        <v>-3315444</v>
      </c>
      <c r="L51" s="34">
        <f>Параметры!$D$63+L50</f>
        <v>-4562143.3571428582</v>
      </c>
      <c r="M51" s="34">
        <f>Параметры!$D$63+M50</f>
        <v>-5697682.7142857164</v>
      </c>
      <c r="N51" s="34">
        <f>Параметры!$D$63+N50</f>
        <v>-6414443.7142857164</v>
      </c>
      <c r="O51" s="34">
        <f>Параметры!$D$63+O50</f>
        <v>-7301835.1428571455</v>
      </c>
      <c r="P51" s="34">
        <f>Параметры!$D$63+P50</f>
        <v>-7945666.428571431</v>
      </c>
      <c r="Q51" s="34">
        <f>Параметры!$D$63+Q50</f>
        <v>-8553325.0000000019</v>
      </c>
      <c r="R51" s="34">
        <f>Параметры!$D$63+R50</f>
        <v>-9158769.2885714322</v>
      </c>
      <c r="S51" s="34">
        <f>Параметры!$D$63+S50</f>
        <v>-9764213.5771428607</v>
      </c>
      <c r="T51" s="34">
        <f>Параметры!$D$63+T50</f>
        <v>-10432406.762857147</v>
      </c>
      <c r="U51" s="34">
        <f>Параметры!$D$63+U50</f>
        <v>-11037851.051428575</v>
      </c>
      <c r="V51" s="34">
        <f>Параметры!$D$63+V50</f>
        <v>-11706044.237142861</v>
      </c>
      <c r="W51" s="34">
        <f>Параметры!$D$63+W50</f>
        <v>-12311488.525714289</v>
      </c>
      <c r="X51" s="34">
        <f>Параметры!$D$63+X50</f>
        <v>-12916932.814285718</v>
      </c>
      <c r="Y51" s="34">
        <f>Параметры!$D$63+Y50</f>
        <v>-13710623.794285718</v>
      </c>
      <c r="Z51" s="34">
        <f>Параметры!$D$63+Z50</f>
        <v>-14316068.082857147</v>
      </c>
      <c r="AA51" s="34">
        <f>Параметры!$D$63+AA50</f>
        <v>-14984261.268571433</v>
      </c>
      <c r="AB51" s="34">
        <f>Параметры!$D$63+AB50</f>
        <v>-15589705.557142861</v>
      </c>
      <c r="AC51" s="34">
        <f>Параметры!$D$63+AC50</f>
        <v>-16257898.742857147</v>
      </c>
    </row>
    <row r="52" spans="3:29" ht="21.95" customHeight="1">
      <c r="C52" s="1" t="s">
        <v>180</v>
      </c>
      <c r="D52" s="1"/>
      <c r="E52" s="1"/>
      <c r="F52" s="4">
        <f>Инвестиции!$G$24/60</f>
        <v>197941.83333333334</v>
      </c>
      <c r="G52" s="4">
        <f>Инвестиции!$G$24/60</f>
        <v>197941.83333333334</v>
      </c>
      <c r="H52" s="4">
        <f>Инвестиции!$G$24/60</f>
        <v>197941.83333333334</v>
      </c>
      <c r="I52" s="4">
        <f>Инвестиции!$G$24/60</f>
        <v>197941.83333333334</v>
      </c>
      <c r="J52" s="4">
        <f>Инвестиции!$G$24/60</f>
        <v>197941.83333333334</v>
      </c>
      <c r="K52" s="4">
        <f>Инвестиции!$G$24/60</f>
        <v>197941.83333333334</v>
      </c>
      <c r="L52" s="4">
        <f>Инвестиции!$G$24/60</f>
        <v>197941.83333333334</v>
      </c>
      <c r="M52" s="4">
        <f>Инвестиции!$G$24/60</f>
        <v>197941.83333333334</v>
      </c>
      <c r="N52" s="4">
        <f>Инвестиции!$G$24/60</f>
        <v>197941.83333333334</v>
      </c>
      <c r="O52" s="4">
        <f>Инвестиции!$G$24/60</f>
        <v>197941.83333333334</v>
      </c>
      <c r="P52" s="4">
        <f>Инвестиции!$G$24/60</f>
        <v>197941.83333333334</v>
      </c>
      <c r="Q52" s="4">
        <f>Инвестиции!$G$24/60</f>
        <v>197941.83333333334</v>
      </c>
      <c r="R52" s="4">
        <f>Инвестиции!$G$24/60</f>
        <v>197941.83333333334</v>
      </c>
      <c r="S52" s="4">
        <f>Инвестиции!$G$24/60</f>
        <v>197941.83333333334</v>
      </c>
      <c r="T52" s="4">
        <f>Инвестиции!$G$24/60</f>
        <v>197941.83333333334</v>
      </c>
      <c r="U52" s="4">
        <f>Инвестиции!$G$24/60</f>
        <v>197941.83333333334</v>
      </c>
      <c r="V52" s="4">
        <f>Инвестиции!$G$24/60</f>
        <v>197941.83333333334</v>
      </c>
      <c r="W52" s="4">
        <f>Инвестиции!$G$24/60</f>
        <v>197941.83333333334</v>
      </c>
      <c r="X52" s="4">
        <f>Инвестиции!$G$24/60</f>
        <v>197941.83333333334</v>
      </c>
      <c r="Y52" s="4">
        <f>Инвестиции!$G$24/60</f>
        <v>197941.83333333334</v>
      </c>
      <c r="Z52" s="4">
        <f>Инвестиции!$G$24/60</f>
        <v>197941.83333333334</v>
      </c>
      <c r="AA52" s="4">
        <f>Инвестиции!$G$24/60</f>
        <v>197941.83333333334</v>
      </c>
      <c r="AB52" s="4">
        <f>Инвестиции!$G$24/60</f>
        <v>197941.83333333334</v>
      </c>
      <c r="AC52" s="4">
        <f>Инвестиции!$G$24/60</f>
        <v>197941.83333333334</v>
      </c>
    </row>
    <row r="53" spans="3:29" ht="21.95" customHeight="1">
      <c r="C53" s="1" t="s">
        <v>181</v>
      </c>
      <c r="D53" s="1"/>
      <c r="E53" s="1"/>
      <c r="F53" s="1">
        <f t="shared" ref="F53:AC53" si="21">F46-F47-F52</f>
        <v>-2959431.8333333335</v>
      </c>
      <c r="G53" s="1">
        <f t="shared" si="21"/>
        <v>-2659599.8333333335</v>
      </c>
      <c r="H53" s="1">
        <f t="shared" si="21"/>
        <v>-2028511.8333333333</v>
      </c>
      <c r="I53" s="1">
        <f t="shared" si="21"/>
        <v>-1849507.8333333333</v>
      </c>
      <c r="J53" s="1">
        <f t="shared" si="21"/>
        <v>-1452151.8333333333</v>
      </c>
      <c r="K53" s="1">
        <f t="shared" si="21"/>
        <v>-1553891.8333333333</v>
      </c>
      <c r="L53" s="1">
        <f t="shared" si="21"/>
        <v>-1444641.1904761908</v>
      </c>
      <c r="M53" s="1">
        <f t="shared" si="21"/>
        <v>-1333481.1904761908</v>
      </c>
      <c r="N53" s="1">
        <f t="shared" si="21"/>
        <v>-914702.83333333337</v>
      </c>
      <c r="O53" s="1">
        <f t="shared" si="21"/>
        <v>-1085333.2619047621</v>
      </c>
      <c r="P53" s="1">
        <f t="shared" si="21"/>
        <v>-841773.11904761952</v>
      </c>
      <c r="Q53" s="1">
        <f t="shared" si="21"/>
        <v>-805600.40476190462</v>
      </c>
      <c r="R53" s="1">
        <f t="shared" si="21"/>
        <v>-803386.12190476223</v>
      </c>
      <c r="S53" s="1">
        <f t="shared" si="21"/>
        <v>-803386.12190476223</v>
      </c>
      <c r="T53" s="1">
        <f t="shared" si="21"/>
        <v>-866135.01904761989</v>
      </c>
      <c r="U53" s="1">
        <f t="shared" si="21"/>
        <v>-803386.12190476223</v>
      </c>
      <c r="V53" s="1">
        <f t="shared" si="21"/>
        <v>-866135.01904761989</v>
      </c>
      <c r="W53" s="1">
        <f t="shared" si="21"/>
        <v>-803386.12190476223</v>
      </c>
      <c r="X53" s="1">
        <f t="shared" si="21"/>
        <v>-803386.12190476223</v>
      </c>
      <c r="Y53" s="1">
        <f t="shared" si="21"/>
        <v>-991632.81333333417</v>
      </c>
      <c r="Z53" s="1">
        <f t="shared" si="21"/>
        <v>-803386.12190476223</v>
      </c>
      <c r="AA53" s="1">
        <f t="shared" si="21"/>
        <v>-866135.01904761989</v>
      </c>
      <c r="AB53" s="1">
        <f t="shared" si="21"/>
        <v>-803386.12190476223</v>
      </c>
      <c r="AC53" s="1">
        <f t="shared" si="21"/>
        <v>-866135.01904761989</v>
      </c>
    </row>
    <row r="54" spans="3:29" ht="21.95" customHeight="1">
      <c r="C54" s="33" t="s">
        <v>182</v>
      </c>
      <c r="D54" s="33"/>
      <c r="E54" s="33"/>
      <c r="F54" s="34">
        <f>-Инвестиции!$G$31+F50</f>
        <v>-19568340</v>
      </c>
      <c r="G54" s="34">
        <f>-Инвестиции!$G$31+G50</f>
        <v>-22029998</v>
      </c>
      <c r="H54" s="34">
        <f>-Инвестиции!$G$31+H50</f>
        <v>-23860568</v>
      </c>
      <c r="I54" s="34">
        <f>-Инвестиции!$G$31+I50</f>
        <v>-25512134</v>
      </c>
      <c r="J54" s="34">
        <f>-Инвестиции!$G$31+J50</f>
        <v>-26766344</v>
      </c>
      <c r="K54" s="34">
        <f>-Инвестиции!$G$31+K50</f>
        <v>-28122294</v>
      </c>
      <c r="L54" s="34">
        <f>-Инвестиции!$G$31+L50</f>
        <v>-29368993.357142858</v>
      </c>
      <c r="M54" s="34">
        <f>-Инвестиции!$G$31+M50</f>
        <v>-30504532.714285716</v>
      </c>
      <c r="N54" s="34">
        <f>-Инвестиции!$G$31+N50</f>
        <v>-31221293.714285716</v>
      </c>
      <c r="O54" s="34">
        <f>-Инвестиции!$G$31+O50</f>
        <v>-32108685.142857146</v>
      </c>
      <c r="P54" s="34">
        <f>-Инвестиции!$G$31+P50</f>
        <v>-32752516.428571433</v>
      </c>
      <c r="Q54" s="34">
        <f>-Инвестиции!$G$31+Q50</f>
        <v>-33360175</v>
      </c>
      <c r="R54" s="34">
        <f>-Инвестиции!$G$31+R50</f>
        <v>-33965619.288571432</v>
      </c>
      <c r="S54" s="34">
        <f>-Инвестиции!$G$31+S50</f>
        <v>-34571063.577142864</v>
      </c>
      <c r="T54" s="34">
        <f>-Инвестиции!$G$31+T50</f>
        <v>-35239256.762857147</v>
      </c>
      <c r="U54" s="34">
        <f>-Инвестиции!$G$31+U50</f>
        <v>-35844701.051428571</v>
      </c>
      <c r="V54" s="34">
        <f>-Инвестиции!$G$31+V50</f>
        <v>-36512894.237142861</v>
      </c>
      <c r="W54" s="34">
        <f>-Инвестиции!$G$31+W50</f>
        <v>-37118338.525714293</v>
      </c>
      <c r="X54" s="34">
        <f>-Инвестиции!$G$31+X50</f>
        <v>-37723782.814285718</v>
      </c>
      <c r="Y54" s="34">
        <f>-Инвестиции!$G$31+Y50</f>
        <v>-38517473.794285715</v>
      </c>
      <c r="Z54" s="34">
        <f>-Инвестиции!$G$31+Z50</f>
        <v>-39122918.082857147</v>
      </c>
      <c r="AA54" s="34">
        <f>-Инвестиции!$G$31+AA50</f>
        <v>-39791111.268571436</v>
      </c>
      <c r="AB54" s="34">
        <f>-Инвестиции!$G$31+AB50</f>
        <v>-40396555.557142861</v>
      </c>
      <c r="AC54" s="34">
        <f>-Инвестиции!$G$31+AC50</f>
        <v>-41064748.742857143</v>
      </c>
    </row>
    <row r="55" spans="3:29" ht="21.95" customHeight="1">
      <c r="C55" s="1" t="s">
        <v>183</v>
      </c>
      <c r="D55" s="1"/>
      <c r="E55" s="1"/>
      <c r="F55" s="1">
        <f t="shared" ref="F55:AC55" si="22">F26-F44</f>
        <v>-1453185</v>
      </c>
      <c r="G55" s="1">
        <f t="shared" si="22"/>
        <v>-1146099</v>
      </c>
      <c r="H55" s="1">
        <f t="shared" si="22"/>
        <v>-508810</v>
      </c>
      <c r="I55" s="1">
        <f t="shared" si="22"/>
        <v>-322708</v>
      </c>
      <c r="J55" s="1">
        <f t="shared" si="22"/>
        <v>78080</v>
      </c>
      <c r="K55" s="1">
        <f t="shared" si="22"/>
        <v>-17420</v>
      </c>
      <c r="L55" s="1">
        <f t="shared" si="22"/>
        <v>93557.785714285448</v>
      </c>
      <c r="M55" s="1">
        <f t="shared" si="22"/>
        <v>204717.78571428545</v>
      </c>
      <c r="N55" s="1">
        <f t="shared" si="22"/>
        <v>629829</v>
      </c>
      <c r="O55" s="1">
        <f t="shared" si="22"/>
        <v>459607.14285714272</v>
      </c>
      <c r="P55" s="1">
        <f t="shared" si="22"/>
        <v>707364.42857142817</v>
      </c>
      <c r="Q55" s="1">
        <f t="shared" si="22"/>
        <v>742682.85714285728</v>
      </c>
      <c r="R55" s="1">
        <f t="shared" si="22"/>
        <v>815141.98285714258</v>
      </c>
      <c r="S55" s="1">
        <f t="shared" si="22"/>
        <v>815141.98285714258</v>
      </c>
      <c r="T55" s="1">
        <f t="shared" si="22"/>
        <v>750267.0285714278</v>
      </c>
      <c r="U55" s="1">
        <f t="shared" si="22"/>
        <v>815141.98285714258</v>
      </c>
      <c r="V55" s="1">
        <f t="shared" si="22"/>
        <v>750267.0285714278</v>
      </c>
      <c r="W55" s="1">
        <f t="shared" si="22"/>
        <v>815141.98285714258</v>
      </c>
      <c r="X55" s="1">
        <f t="shared" si="22"/>
        <v>815141.98285714258</v>
      </c>
      <c r="Y55" s="1">
        <f t="shared" si="22"/>
        <v>620517.11999999918</v>
      </c>
      <c r="Z55" s="1">
        <f t="shared" si="22"/>
        <v>815141.98285714258</v>
      </c>
      <c r="AA55" s="1">
        <f t="shared" si="22"/>
        <v>750267.0285714278</v>
      </c>
      <c r="AB55" s="1">
        <f t="shared" si="22"/>
        <v>815141.98285714258</v>
      </c>
      <c r="AC55" s="1">
        <f t="shared" si="22"/>
        <v>750267.0285714278</v>
      </c>
    </row>
    <row r="56" spans="3:29" ht="21.95" customHeight="1">
      <c r="C56" s="33" t="s">
        <v>184</v>
      </c>
      <c r="D56" s="33"/>
      <c r="E56" s="33"/>
      <c r="F56" s="34">
        <f>F55-MAX(F48/(1-Параметры!$D$58),F48+Параметры!$D$59*F26)</f>
        <v>-1471320</v>
      </c>
      <c r="G56" s="34">
        <f>G55-MAX(G48/(1-Параметры!$D$58),G48+Параметры!$D$59*G26)</f>
        <v>-1171488</v>
      </c>
      <c r="H56" s="34">
        <f>H55-MAX(H48/(1-Параметры!$D$58),H48+Параметры!$D$59*H26)</f>
        <v>-540400</v>
      </c>
      <c r="I56" s="34">
        <f>I55-MAX(I48/(1-Параметры!$D$58),I48+Параметры!$D$59*I26)</f>
        <v>-361396</v>
      </c>
      <c r="J56" s="34">
        <f>J55-MAX(J48/(1-Параметры!$D$58),J48+Параметры!$D$59*J26)</f>
        <v>35960</v>
      </c>
      <c r="K56" s="34">
        <f>K55-MAX(K48/(1-Параметры!$D$58),K48+Параметры!$D$59*K26)</f>
        <v>-65780</v>
      </c>
      <c r="L56" s="34">
        <f>L55-MAX(L48/(1-Параметры!$D$58),L48+Параметры!$D$59*L26)</f>
        <v>43470.642857142593</v>
      </c>
      <c r="M56" s="34">
        <f>M55-MAX(M48/(1-Параметры!$D$58),M48+Параметры!$D$59*M26)</f>
        <v>154630.64285714261</v>
      </c>
      <c r="N56" s="34">
        <f>N55-MAX(N48/(1-Параметры!$D$58),N48+Параметры!$D$59*N26)</f>
        <v>573409</v>
      </c>
      <c r="O56" s="34">
        <f>O55-MAX(O48/(1-Параметры!$D$58),O48+Параметры!$D$59*O26)</f>
        <v>402778.5714285713</v>
      </c>
      <c r="P56" s="34">
        <f>P55-MAX(P48/(1-Параметры!$D$58),P48+Параметры!$D$59*P26)</f>
        <v>646338.71428571385</v>
      </c>
      <c r="Q56" s="34">
        <f>Q55-MAX(Q48/(1-Параметры!$D$58),Q48+Параметры!$D$59*Q26)</f>
        <v>682511.42857142875</v>
      </c>
      <c r="R56" s="34">
        <f>R55-MAX(R48/(1-Параметры!$D$58),R48+Параметры!$D$59*R26)</f>
        <v>749234.21142857114</v>
      </c>
      <c r="S56" s="34">
        <f>S55-MAX(S48/(1-Параметры!$D$58),S48+Параметры!$D$59*S26)</f>
        <v>749234.21142857114</v>
      </c>
      <c r="T56" s="34">
        <f>T55-MAX(T48/(1-Параметры!$D$58),T48+Параметры!$D$59*T26)</f>
        <v>686485.31428571348</v>
      </c>
      <c r="U56" s="34">
        <f>U55-MAX(U48/(1-Параметры!$D$58),U48+Параметры!$D$59*U26)</f>
        <v>749234.21142857114</v>
      </c>
      <c r="V56" s="34">
        <f>V55-MAX(V48/(1-Параметры!$D$58),V48+Параметры!$D$59*V26)</f>
        <v>686485.31428571348</v>
      </c>
      <c r="W56" s="34">
        <f>W55-MAX(W48/(1-Параметры!$D$58),W48+Параметры!$D$59*W26)</f>
        <v>749234.21142857114</v>
      </c>
      <c r="X56" s="34">
        <f>X55-MAX(X48/(1-Параметры!$D$58),X48+Параметры!$D$59*X26)</f>
        <v>749234.21142857114</v>
      </c>
      <c r="Y56" s="34">
        <f>Y55-MAX(Y48/(1-Параметры!$D$58),Y48+Параметры!$D$59*Y26)</f>
        <v>560987.5199999992</v>
      </c>
      <c r="Z56" s="34">
        <f>Z55-MAX(Z48/(1-Параметры!$D$58),Z48+Параметры!$D$59*Z26)</f>
        <v>749234.21142857114</v>
      </c>
      <c r="AA56" s="34">
        <f>AA55-MAX(AA48/(1-Параметры!$D$58),AA48+Параметры!$D$59*AA26)</f>
        <v>686485.31428571348</v>
      </c>
      <c r="AB56" s="34">
        <f>AB55-MAX(AB48/(1-Параметры!$D$58),AB48+Параметры!$D$59*AB26)</f>
        <v>749234.21142857114</v>
      </c>
      <c r="AC56" s="34">
        <f>AC55-MAX(AC48/(1-Параметры!$D$58),AC48+Параметры!$D$59*AC26)</f>
        <v>686485.31428571348</v>
      </c>
    </row>
    <row r="57" spans="3:29" ht="21.95" customHeight="1">
      <c r="C57" s="33" t="s">
        <v>185</v>
      </c>
      <c r="D57" s="33"/>
      <c r="E57" s="33"/>
      <c r="F57" s="34">
        <f>F55-MAX((F48+Параметры!$D$66)/(1-Параметры!$D$58),F48+Параметры!$D$66+Параметры!$D$59*F26)</f>
        <v>-1806126.1764705882</v>
      </c>
      <c r="G57" s="34">
        <f>G55-MAX((G48+Параметры!$D$66)/(1-Параметры!$D$58),G48+Параметры!$D$66+Параметры!$D$59*G26)</f>
        <v>-1499040.1764705882</v>
      </c>
      <c r="H57" s="34">
        <f>H55-MAX((H48+Параметры!$D$66)/(1-Параметры!$D$58),H48+Параметры!$D$66+Параметры!$D$59*H26)</f>
        <v>-861751.17647058819</v>
      </c>
      <c r="I57" s="34">
        <f>I55-MAX((I48+Параметры!$D$66)/(1-Параметры!$D$58),I48+Параметры!$D$66+Параметры!$D$59*I26)</f>
        <v>-675649.17647058819</v>
      </c>
      <c r="J57" s="34">
        <f>J55-MAX((J48+Параметры!$D$66)/(1-Параметры!$D$58),J48+Параметры!$D$66+Параметры!$D$59*J26)</f>
        <v>-274861.17647058825</v>
      </c>
      <c r="K57" s="34">
        <f>K55-MAX((K48+Параметры!$D$66)/(1-Параметры!$D$58),K48+Параметры!$D$66+Параметры!$D$59*K26)</f>
        <v>-370361.17647058825</v>
      </c>
      <c r="L57" s="34">
        <f>L55-MAX((L48+Параметры!$D$66)/(1-Параметры!$D$58),L48+Параметры!$D$66+Параметры!$D$59*L26)</f>
        <v>-259383.3907563028</v>
      </c>
      <c r="M57" s="34">
        <f>M55-MAX((M48+Параметры!$D$66)/(1-Параметры!$D$58),M48+Параметры!$D$66+Параметры!$D$59*M26)</f>
        <v>-148223.3907563028</v>
      </c>
      <c r="N57" s="34">
        <f>N55-MAX((N48+Параметры!$D$66)/(1-Параметры!$D$58),N48+Параметры!$D$66+Параметры!$D$59*N26)</f>
        <v>273409</v>
      </c>
      <c r="O57" s="34">
        <f>O55-MAX((O48+Параметры!$D$66)/(1-Параметры!$D$58),O48+Параметры!$D$66+Параметры!$D$59*O26)</f>
        <v>102778.5714285713</v>
      </c>
      <c r="P57" s="34">
        <f>P55-MAX((P48+Параметры!$D$66)/(1-Параметры!$D$58),P48+Параметры!$D$66+Параметры!$D$59*P26)</f>
        <v>346338.71428571391</v>
      </c>
      <c r="Q57" s="34">
        <f>Q55-MAX((Q48+Параметры!$D$66)/(1-Параметры!$D$58),Q48+Параметры!$D$66+Параметры!$D$59*Q26)</f>
        <v>382511.4285714287</v>
      </c>
      <c r="R57" s="34">
        <f>R55-MAX((R48+Параметры!$D$66)/(1-Параметры!$D$58),R48+Параметры!$D$66+Параметры!$D$59*R26)</f>
        <v>449234.21142857114</v>
      </c>
      <c r="S57" s="34">
        <f>S55-MAX((S48+Параметры!$D$66)/(1-Параметры!$D$58),S48+Параметры!$D$66+Параметры!$D$59*S26)</f>
        <v>449234.21142857114</v>
      </c>
      <c r="T57" s="34">
        <f>T55-MAX((T48+Параметры!$D$66)/(1-Параметры!$D$58),T48+Параметры!$D$66+Параметры!$D$59*T26)</f>
        <v>386485.31428571354</v>
      </c>
      <c r="U57" s="34">
        <f>U55-MAX((U48+Параметры!$D$66)/(1-Параметры!$D$58),U48+Параметры!$D$66+Параметры!$D$59*U26)</f>
        <v>449234.21142857114</v>
      </c>
      <c r="V57" s="34">
        <f>V55-MAX((V48+Параметры!$D$66)/(1-Параметры!$D$58),V48+Параметры!$D$66+Параметры!$D$59*V26)</f>
        <v>386485.31428571354</v>
      </c>
      <c r="W57" s="34">
        <f>W55-MAX((W48+Параметры!$D$66)/(1-Параметры!$D$58),W48+Параметры!$D$66+Параметры!$D$59*W26)</f>
        <v>449234.21142857114</v>
      </c>
      <c r="X57" s="34">
        <f>X55-MAX((X48+Параметры!$D$66)/(1-Параметры!$D$58),X48+Параметры!$D$66+Параметры!$D$59*X26)</f>
        <v>449234.21142857114</v>
      </c>
      <c r="Y57" s="34">
        <f>Y55-MAX((Y48+Параметры!$D$66)/(1-Параметры!$D$58),Y48+Параметры!$D$66+Параметры!$D$59*Y26)</f>
        <v>260987.5199999992</v>
      </c>
      <c r="Z57" s="34">
        <f>Z55-MAX((Z48+Параметры!$D$66)/(1-Параметры!$D$58),Z48+Параметры!$D$66+Параметры!$D$59*Z26)</f>
        <v>449234.21142857114</v>
      </c>
      <c r="AA57" s="34">
        <f>AA55-MAX((AA48+Параметры!$D$66)/(1-Параметры!$D$58),AA48+Параметры!$D$66+Параметры!$D$59*AA26)</f>
        <v>386485.31428571354</v>
      </c>
      <c r="AB57" s="34">
        <f>AB55-MAX((AB48+Параметры!$D$66)/(1-Параметры!$D$58),AB48+Параметры!$D$66+Параметры!$D$59*AB26)</f>
        <v>449234.21142857114</v>
      </c>
      <c r="AC57" s="34">
        <f>AC55-MAX((AC48+Параметры!$D$66)/(1-Параметры!$D$58),AC48+Параметры!$D$66+Параметры!$D$59*AC26)</f>
        <v>386485.31428571354</v>
      </c>
    </row>
    <row r="58" spans="3:29" ht="21.95" customHeight="1">
      <c r="C58" s="30" t="s">
        <v>186</v>
      </c>
      <c r="D58" s="30"/>
      <c r="E58" s="30"/>
      <c r="F58" s="31">
        <f t="shared" ref="F58:AC58" si="23">F49/F26</f>
        <v>-1.5227405569341053</v>
      </c>
      <c r="G58" s="31">
        <f t="shared" si="23"/>
        <v>-0.96957658828626569</v>
      </c>
      <c r="H58" s="31">
        <f t="shared" si="23"/>
        <v>-0.57947768281101619</v>
      </c>
      <c r="I58" s="31">
        <f t="shared" si="23"/>
        <v>-0.42689361042183621</v>
      </c>
      <c r="J58" s="31">
        <f t="shared" si="23"/>
        <v>-0.29777065527065527</v>
      </c>
      <c r="K58" s="31">
        <f t="shared" si="23"/>
        <v>-0.28038668320926385</v>
      </c>
      <c r="L58" s="31">
        <f t="shared" si="23"/>
        <v>-0.24890606371752097</v>
      </c>
      <c r="M58" s="31">
        <f t="shared" si="23"/>
        <v>-0.22671274350417853</v>
      </c>
      <c r="N58" s="31">
        <f t="shared" si="23"/>
        <v>-0.1270402339595888</v>
      </c>
      <c r="O58" s="31">
        <f t="shared" si="23"/>
        <v>-0.15615233785822025</v>
      </c>
      <c r="P58" s="31">
        <f t="shared" si="23"/>
        <v>-0.10550163865349509</v>
      </c>
      <c r="Q58" s="31">
        <f t="shared" si="23"/>
        <v>-0.1009878917378917</v>
      </c>
      <c r="R58" s="31">
        <f t="shared" si="23"/>
        <v>-9.1862351805900244E-2</v>
      </c>
      <c r="S58" s="31">
        <f t="shared" si="23"/>
        <v>-9.1862351805900244E-2</v>
      </c>
      <c r="T58" s="31">
        <f t="shared" si="23"/>
        <v>-0.10476250022397834</v>
      </c>
      <c r="U58" s="31">
        <f t="shared" si="23"/>
        <v>-9.1862351805900244E-2</v>
      </c>
      <c r="V58" s="31">
        <f t="shared" si="23"/>
        <v>-0.10476250022397834</v>
      </c>
      <c r="W58" s="31">
        <f t="shared" si="23"/>
        <v>-9.1862351805900244E-2</v>
      </c>
      <c r="X58" s="31">
        <f t="shared" si="23"/>
        <v>-9.1862351805900244E-2</v>
      </c>
      <c r="Y58" s="31">
        <f t="shared" si="23"/>
        <v>-0.13332711457829396</v>
      </c>
      <c r="Z58" s="31">
        <f t="shared" si="23"/>
        <v>-9.1862351805900244E-2</v>
      </c>
      <c r="AA58" s="31">
        <f t="shared" si="23"/>
        <v>-0.10476250022397834</v>
      </c>
      <c r="AB58" s="31">
        <f t="shared" si="23"/>
        <v>-9.1862351805900244E-2</v>
      </c>
      <c r="AC58" s="31">
        <f t="shared" si="23"/>
        <v>-0.10476250022397834</v>
      </c>
    </row>
    <row r="59" spans="3:29" ht="21.95" customHeight="1">
      <c r="C59" s="1" t="s">
        <v>187</v>
      </c>
      <c r="D59" s="1"/>
      <c r="E59" s="1"/>
      <c r="F59" s="4">
        <f>Параметры!$D$76*(1+Параметры!$D$52)^INT((F6-1)/12)/F18</f>
        <v>2727.2727272727279</v>
      </c>
      <c r="G59" s="4">
        <f>Параметры!$D$76*(1+Параметры!$D$52)^INT((G6-1)/12)/G18</f>
        <v>2608.695652173913</v>
      </c>
      <c r="H59" s="4">
        <f>Параметры!$D$76*(1+Параметры!$D$52)^INT((H6-1)/12)/H18</f>
        <v>2500</v>
      </c>
      <c r="I59" s="4">
        <f>Параметры!$D$76*(1+Параметры!$D$52)^INT((I6-1)/12)/I18</f>
        <v>3272.7272727272725</v>
      </c>
      <c r="J59" s="4">
        <f>Параметры!$D$76*(1+Параметры!$D$52)^INT((J6-1)/12)/J18</f>
        <v>3157.8947368421054</v>
      </c>
      <c r="K59" s="4">
        <f>Параметры!$D$76*(1+Параметры!$D$52)^INT((K6-1)/12)/K18</f>
        <v>3050.8474576271187</v>
      </c>
      <c r="L59" s="4">
        <f>Параметры!$D$76*(1+Параметры!$D$52)^INT((L6-1)/12)/L18</f>
        <v>3529.4117647058829</v>
      </c>
      <c r="M59" s="4">
        <f>Параметры!$D$76*(1+Параметры!$D$52)^INT((M6-1)/12)/M18</f>
        <v>3428.5714285714284</v>
      </c>
      <c r="N59" s="4">
        <f>Параметры!$D$76*(1+Параметры!$D$52)^INT((N6-1)/12)/N18</f>
        <v>4090.909090909091</v>
      </c>
      <c r="O59" s="4">
        <f>Параметры!$D$76*(1+Параметры!$D$52)^INT((O6-1)/12)/O18</f>
        <v>4000</v>
      </c>
      <c r="P59" s="4">
        <f>Параметры!$D$76*(1+Параметры!$D$52)^INT((P6-1)/12)/P18</f>
        <v>3913.04347826087</v>
      </c>
      <c r="Q59" s="4">
        <f>Параметры!$D$76*(1+Параметры!$D$52)^INT((Q6-1)/12)/Q18</f>
        <v>6666.666666666667</v>
      </c>
      <c r="R59" s="4">
        <f>Параметры!$D$76*(1+Параметры!$D$52)^INT((R6-1)/12)/R18</f>
        <v>7066.666666666667</v>
      </c>
      <c r="S59" s="4">
        <f>Параметры!$D$76*(1+Параметры!$D$52)^INT((S6-1)/12)/S18</f>
        <v>7066.666666666667</v>
      </c>
      <c r="T59" s="4">
        <f>Параметры!$D$76*(1+Параметры!$D$52)^INT((T6-1)/12)/T18</f>
        <v>7066.666666666667</v>
      </c>
      <c r="U59" s="4">
        <f>Параметры!$D$76*(1+Параметры!$D$52)^INT((U6-1)/12)/U18</f>
        <v>7066.666666666667</v>
      </c>
      <c r="V59" s="4">
        <f>Параметры!$D$76*(1+Параметры!$D$52)^INT((V6-1)/12)/V18</f>
        <v>7066.666666666667</v>
      </c>
      <c r="W59" s="4">
        <f>Параметры!$D$76*(1+Параметры!$D$52)^INT((W6-1)/12)/W18</f>
        <v>7066.666666666667</v>
      </c>
      <c r="X59" s="4">
        <f>Параметры!$D$76*(1+Параметры!$D$52)^INT((X6-1)/12)/X18</f>
        <v>7066.666666666667</v>
      </c>
      <c r="Y59" s="4">
        <f>Параметры!$D$76*(1+Параметры!$D$52)^INT((Y6-1)/12)/Y18</f>
        <v>7066.666666666667</v>
      </c>
      <c r="Z59" s="4">
        <f>Параметры!$D$76*(1+Параметры!$D$52)^INT((Z6-1)/12)/Z18</f>
        <v>7066.666666666667</v>
      </c>
      <c r="AA59" s="4">
        <f>Параметры!$D$76*(1+Параметры!$D$52)^INT((AA6-1)/12)/AA18</f>
        <v>7066.666666666667</v>
      </c>
      <c r="AB59" s="4">
        <f>Параметры!$D$76*(1+Параметры!$D$52)^INT((AB6-1)/12)/AB18</f>
        <v>7066.666666666667</v>
      </c>
      <c r="AC59" s="4">
        <f>Параметры!$D$76*(1+Параметры!$D$52)^INT((AC6-1)/12)/AC18</f>
        <v>7066.666666666667</v>
      </c>
    </row>
    <row r="60" spans="3:29" ht="21.95" customHeight="1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3:29" ht="21.95" customHeight="1">
      <c r="C61" s="1" t="s">
        <v>188</v>
      </c>
      <c r="D61" s="1"/>
      <c r="E61" s="1"/>
      <c r="F61" s="26">
        <f>MAX(0,Параметры!F82-F10,F11-F10)</f>
        <v>0</v>
      </c>
      <c r="G61" s="26">
        <f>MAX(0,Параметры!G82-G10,G11-G10)</f>
        <v>0</v>
      </c>
      <c r="H61" s="26">
        <f>MAX(0,Параметры!H82-H10,H11-H10)</f>
        <v>0</v>
      </c>
      <c r="I61" s="26">
        <f>MAX(0,Параметры!I82-I10,I11-I10)</f>
        <v>0</v>
      </c>
      <c r="J61" s="26">
        <f>MAX(0,Параметры!J82-J10,J11-J10)</f>
        <v>0</v>
      </c>
      <c r="K61" s="26">
        <f>MAX(0,Параметры!K82-K10,K11-K10)</f>
        <v>0</v>
      </c>
      <c r="L61" s="26">
        <f>MAX(0,Параметры!L82-L10,L11-L10)</f>
        <v>0</v>
      </c>
      <c r="M61" s="26">
        <f>MAX(0,Параметры!M82-M10,M11-M10)</f>
        <v>0</v>
      </c>
      <c r="N61" s="26">
        <f>MAX(0,Параметры!N82-N10,N11-N10)</f>
        <v>0</v>
      </c>
      <c r="O61" s="26">
        <f>MAX(0,Параметры!O82-O10,O11-O10)</f>
        <v>0</v>
      </c>
      <c r="P61" s="26">
        <f>MAX(0,Параметры!P82-P10,P11-P10)</f>
        <v>0</v>
      </c>
      <c r="Q61" s="26">
        <f>MAX(0,Параметры!Q82-Q10,Q11-Q10)</f>
        <v>0</v>
      </c>
      <c r="R61" s="26">
        <f>MAX(0,Параметры!R82-R10,R11-R10)</f>
        <v>0</v>
      </c>
      <c r="S61" s="26">
        <f>MAX(0,Параметры!S82-S10,S11-S10)</f>
        <v>0</v>
      </c>
      <c r="T61" s="26">
        <f>MAX(0,Параметры!T82-T10,T11-T10)</f>
        <v>0</v>
      </c>
      <c r="U61" s="26">
        <f>MAX(0,Параметры!U82-U10,U11-U10)</f>
        <v>0</v>
      </c>
      <c r="V61" s="26">
        <f>MAX(0,Параметры!V82-V10,V11-V10)</f>
        <v>0</v>
      </c>
      <c r="W61" s="26">
        <f>MAX(0,Параметры!W82-W10,W11-W10)</f>
        <v>0</v>
      </c>
      <c r="X61" s="26">
        <f>MAX(0,Параметры!X82-X10,X11-X10)</f>
        <v>0</v>
      </c>
      <c r="Y61" s="26">
        <f>MAX(0,Параметры!Y82-Y10,Y11-Y10)</f>
        <v>0</v>
      </c>
      <c r="Z61" s="26">
        <f>MAX(0,Параметры!Z82-Z10,Z11-Z10)</f>
        <v>0</v>
      </c>
      <c r="AA61" s="26">
        <f>MAX(0,Параметры!AA82-AA10,AA11-AA10)</f>
        <v>0</v>
      </c>
      <c r="AB61" s="26">
        <f>MAX(0,Параметры!AB82-AB10,AB11-AB10)</f>
        <v>0</v>
      </c>
      <c r="AC61" s="26">
        <f>MAX(0,Параметры!AC82-AC10,AC11-AC10)</f>
        <v>0</v>
      </c>
    </row>
    <row r="62" spans="3:29" ht="21.95" customHeight="1">
      <c r="C62" s="1" t="s">
        <v>189</v>
      </c>
      <c r="D62" s="1"/>
      <c r="E62" s="1"/>
      <c r="F62" s="25">
        <f t="shared" ref="F62:AC62" si="24">IF(F49&gt;0,1,0)</f>
        <v>0</v>
      </c>
      <c r="G62" s="25">
        <f t="shared" si="24"/>
        <v>0</v>
      </c>
      <c r="H62" s="25">
        <f t="shared" si="24"/>
        <v>0</v>
      </c>
      <c r="I62" s="25">
        <f t="shared" si="24"/>
        <v>0</v>
      </c>
      <c r="J62" s="25">
        <f t="shared" si="24"/>
        <v>0</v>
      </c>
      <c r="K62" s="25">
        <f t="shared" si="24"/>
        <v>0</v>
      </c>
      <c r="L62" s="25">
        <f t="shared" si="24"/>
        <v>0</v>
      </c>
      <c r="M62" s="25">
        <f t="shared" si="24"/>
        <v>0</v>
      </c>
      <c r="N62" s="25">
        <f t="shared" si="24"/>
        <v>0</v>
      </c>
      <c r="O62" s="25">
        <f t="shared" si="24"/>
        <v>0</v>
      </c>
      <c r="P62" s="25">
        <f t="shared" si="24"/>
        <v>0</v>
      </c>
      <c r="Q62" s="25">
        <f t="shared" si="24"/>
        <v>0</v>
      </c>
      <c r="R62" s="25">
        <f t="shared" si="24"/>
        <v>0</v>
      </c>
      <c r="S62" s="25">
        <f t="shared" si="24"/>
        <v>0</v>
      </c>
      <c r="T62" s="25">
        <f t="shared" si="24"/>
        <v>0</v>
      </c>
      <c r="U62" s="25">
        <f t="shared" si="24"/>
        <v>0</v>
      </c>
      <c r="V62" s="25">
        <f t="shared" si="24"/>
        <v>0</v>
      </c>
      <c r="W62" s="25">
        <f t="shared" si="24"/>
        <v>0</v>
      </c>
      <c r="X62" s="25">
        <f t="shared" si="24"/>
        <v>0</v>
      </c>
      <c r="Y62" s="25">
        <f t="shared" si="24"/>
        <v>0</v>
      </c>
      <c r="Z62" s="25">
        <f t="shared" si="24"/>
        <v>0</v>
      </c>
      <c r="AA62" s="25">
        <f t="shared" si="24"/>
        <v>0</v>
      </c>
      <c r="AB62" s="25">
        <f t="shared" si="24"/>
        <v>0</v>
      </c>
      <c r="AC62" s="25">
        <f t="shared" si="24"/>
        <v>0</v>
      </c>
    </row>
    <row r="63" spans="3:29" ht="21.95" customHeight="1">
      <c r="C63" s="1" t="s">
        <v>190</v>
      </c>
      <c r="D63" s="1"/>
      <c r="E63" s="1"/>
      <c r="F63" s="25">
        <f t="shared" ref="F63:AC63" si="25">IF(F54&gt;=0,1,0)</f>
        <v>0</v>
      </c>
      <c r="G63" s="25">
        <f t="shared" si="25"/>
        <v>0</v>
      </c>
      <c r="H63" s="25">
        <f t="shared" si="25"/>
        <v>0</v>
      </c>
      <c r="I63" s="25">
        <f t="shared" si="25"/>
        <v>0</v>
      </c>
      <c r="J63" s="25">
        <f t="shared" si="25"/>
        <v>0</v>
      </c>
      <c r="K63" s="25">
        <f t="shared" si="25"/>
        <v>0</v>
      </c>
      <c r="L63" s="25">
        <f t="shared" si="25"/>
        <v>0</v>
      </c>
      <c r="M63" s="25">
        <f t="shared" si="25"/>
        <v>0</v>
      </c>
      <c r="N63" s="25">
        <f t="shared" si="25"/>
        <v>0</v>
      </c>
      <c r="O63" s="25">
        <f t="shared" si="25"/>
        <v>0</v>
      </c>
      <c r="P63" s="25">
        <f t="shared" si="25"/>
        <v>0</v>
      </c>
      <c r="Q63" s="25">
        <f t="shared" si="25"/>
        <v>0</v>
      </c>
      <c r="R63" s="25">
        <f t="shared" si="25"/>
        <v>0</v>
      </c>
      <c r="S63" s="25">
        <f t="shared" si="25"/>
        <v>0</v>
      </c>
      <c r="T63" s="25">
        <f t="shared" si="25"/>
        <v>0</v>
      </c>
      <c r="U63" s="25">
        <f t="shared" si="25"/>
        <v>0</v>
      </c>
      <c r="V63" s="25">
        <f t="shared" si="25"/>
        <v>0</v>
      </c>
      <c r="W63" s="25">
        <f t="shared" si="25"/>
        <v>0</v>
      </c>
      <c r="X63" s="25">
        <f t="shared" si="25"/>
        <v>0</v>
      </c>
      <c r="Y63" s="25">
        <f t="shared" si="25"/>
        <v>0</v>
      </c>
      <c r="Z63" s="25">
        <f t="shared" si="25"/>
        <v>0</v>
      </c>
      <c r="AA63" s="25">
        <f t="shared" si="25"/>
        <v>0</v>
      </c>
      <c r="AB63" s="25">
        <f t="shared" si="25"/>
        <v>0</v>
      </c>
      <c r="AC63" s="25">
        <f t="shared" si="25"/>
        <v>0</v>
      </c>
    </row>
    <row r="64" spans="3:29" ht="21.95" customHeight="1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3:29" ht="21.95" customHeight="1">
      <c r="C65" s="1" t="s">
        <v>191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</sheetData>
  <conditionalFormatting sqref="F49:AC49">
    <cfRule type="cellIs" dxfId="5" priority="1" operator="lessThan">
      <formula>0</formula>
    </cfRule>
  </conditionalFormatting>
  <conditionalFormatting sqref="F51:AC51">
    <cfRule type="cellIs" dxfId="4" priority="2" operator="lessThan">
      <formula>0</formula>
    </cfRule>
  </conditionalFormatting>
  <conditionalFormatting sqref="F54:AC54">
    <cfRule type="cellIs" dxfId="3" priority="3" operator="lessThan">
      <formula>0</formula>
    </cfRule>
  </conditionalFormatting>
  <conditionalFormatting sqref="F56:AC56">
    <cfRule type="cellIs" dxfId="2" priority="4" operator="lessThan">
      <formula>0</formula>
    </cfRule>
  </conditionalFormatting>
  <conditionalFormatting sqref="F57:AC57">
    <cfRule type="cellIs" dxfId="1" priority="5" operator="lessThan">
      <formula>0</formula>
    </cfRule>
  </conditionalFormatting>
  <conditionalFormatting sqref="F61:AC61">
    <cfRule type="cellIs" dxfId="0" priority="6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I27"/>
  <sheetViews>
    <sheetView showGridLines="0" workbookViewId="0">
      <pane ySplit="7" topLeftCell="A8" activePane="bottomLeft" state="frozen"/>
      <selection pane="bottomLeft"/>
    </sheetView>
  </sheetViews>
  <sheetFormatPr defaultRowHeight="14.25"/>
  <cols>
    <col min="1" max="2" width="2" customWidth="1"/>
    <col min="3" max="3" width="46" customWidth="1"/>
    <col min="4" max="6" width="17" customWidth="1"/>
    <col min="7" max="8" width="16" customWidth="1"/>
    <col min="9" max="9" width="70" customWidth="1"/>
  </cols>
  <sheetData>
    <row r="2" spans="3:9" ht="21.95" customHeight="1">
      <c r="C2" s="2" t="s">
        <v>192</v>
      </c>
      <c r="D2" s="1"/>
      <c r="E2" s="1"/>
      <c r="F2" s="1"/>
      <c r="G2" s="1"/>
      <c r="H2" s="1"/>
      <c r="I2" s="1"/>
    </row>
    <row r="3" spans="3:9" ht="21.95" customHeight="1">
      <c r="C3" s="3"/>
      <c r="D3" s="3"/>
      <c r="E3" s="3"/>
      <c r="F3" s="3"/>
      <c r="G3" s="3"/>
      <c r="H3" s="3"/>
      <c r="I3" s="3"/>
    </row>
    <row r="4" spans="3:9" ht="21.95" customHeight="1">
      <c r="C4" s="1" t="s">
        <v>1</v>
      </c>
      <c r="D4" s="5" t="str">
        <f>Параметры!E5</f>
        <v>Базовый</v>
      </c>
      <c r="E4" s="1"/>
      <c r="F4" s="1"/>
      <c r="G4" s="1"/>
      <c r="H4" s="1"/>
      <c r="I4" s="1"/>
    </row>
    <row r="5" spans="3:9" ht="21.95" customHeight="1">
      <c r="C5" s="1"/>
      <c r="D5" s="1"/>
      <c r="E5" s="1"/>
      <c r="F5" s="1"/>
      <c r="G5" s="1"/>
      <c r="H5" s="1"/>
      <c r="I5" s="1"/>
    </row>
    <row r="6" spans="3:9" ht="21.95" customHeight="1">
      <c r="C6" s="1"/>
      <c r="D6" s="1"/>
      <c r="E6" s="1"/>
      <c r="F6" s="1"/>
      <c r="G6" s="1"/>
      <c r="H6" s="1"/>
      <c r="I6" s="1"/>
    </row>
    <row r="7" spans="3:9" ht="21.95" customHeight="1">
      <c r="C7" s="17" t="s">
        <v>193</v>
      </c>
      <c r="D7" s="17" t="s">
        <v>194</v>
      </c>
      <c r="E7" s="17" t="s">
        <v>195</v>
      </c>
      <c r="F7" s="17" t="s">
        <v>196</v>
      </c>
      <c r="G7" s="1"/>
      <c r="H7" s="1"/>
      <c r="I7" s="1"/>
    </row>
    <row r="8" spans="3:9" ht="21.95" customHeight="1">
      <c r="C8" s="1" t="s">
        <v>197</v>
      </c>
      <c r="D8" s="14">
        <v>1</v>
      </c>
      <c r="E8" s="6">
        <v>130000</v>
      </c>
      <c r="F8" s="1">
        <f t="shared" ref="F8:F15" si="0">D8*E8</f>
        <v>130000</v>
      </c>
      <c r="G8" s="1"/>
      <c r="H8" s="1"/>
      <c r="I8" s="1" t="s">
        <v>198</v>
      </c>
    </row>
    <row r="9" spans="3:9" ht="21.95" customHeight="1">
      <c r="C9" s="1" t="s">
        <v>199</v>
      </c>
      <c r="D9" s="14">
        <v>1</v>
      </c>
      <c r="E9" s="6">
        <v>95000</v>
      </c>
      <c r="F9" s="1">
        <f t="shared" si="0"/>
        <v>95000</v>
      </c>
      <c r="G9" s="1"/>
      <c r="H9" s="1"/>
      <c r="I9" s="1" t="s">
        <v>200</v>
      </c>
    </row>
    <row r="10" spans="3:9" ht="21.95" customHeight="1">
      <c r="C10" s="1" t="s">
        <v>201</v>
      </c>
      <c r="D10" s="14">
        <v>1</v>
      </c>
      <c r="E10" s="6">
        <v>90000</v>
      </c>
      <c r="F10" s="1">
        <f t="shared" si="0"/>
        <v>90000</v>
      </c>
      <c r="G10" s="1"/>
      <c r="H10" s="1"/>
      <c r="I10" s="1" t="s">
        <v>202</v>
      </c>
    </row>
    <row r="11" spans="3:9" ht="21.95" customHeight="1">
      <c r="C11" s="1" t="s">
        <v>203</v>
      </c>
      <c r="D11" s="14">
        <v>2.5</v>
      </c>
      <c r="E11" s="6">
        <v>80000</v>
      </c>
      <c r="F11" s="1">
        <f t="shared" si="0"/>
        <v>200000</v>
      </c>
      <c r="G11" s="1"/>
      <c r="H11" s="1"/>
      <c r="I11" s="1"/>
    </row>
    <row r="12" spans="3:9" ht="21.95" customHeight="1">
      <c r="C12" s="1" t="s">
        <v>204</v>
      </c>
      <c r="D12" s="14">
        <v>2.5</v>
      </c>
      <c r="E12" s="6">
        <v>60000</v>
      </c>
      <c r="F12" s="1">
        <f t="shared" si="0"/>
        <v>150000</v>
      </c>
      <c r="G12" s="1"/>
      <c r="H12" s="1"/>
      <c r="I12" s="1" t="s">
        <v>205</v>
      </c>
    </row>
    <row r="13" spans="3:9" ht="21.95" customHeight="1">
      <c r="C13" s="1" t="s">
        <v>206</v>
      </c>
      <c r="D13" s="14">
        <v>3</v>
      </c>
      <c r="E13" s="6">
        <v>60000</v>
      </c>
      <c r="F13" s="1">
        <f t="shared" si="0"/>
        <v>180000</v>
      </c>
      <c r="G13" s="1"/>
      <c r="H13" s="1"/>
      <c r="I13" s="1"/>
    </row>
    <row r="14" spans="3:9" ht="21.95" customHeight="1">
      <c r="C14" s="1" t="s">
        <v>207</v>
      </c>
      <c r="D14" s="14">
        <v>0.5</v>
      </c>
      <c r="E14" s="6">
        <v>70000</v>
      </c>
      <c r="F14" s="1">
        <f t="shared" si="0"/>
        <v>35000</v>
      </c>
      <c r="G14" s="1"/>
      <c r="H14" s="1"/>
      <c r="I14" s="1"/>
    </row>
    <row r="15" spans="3:9" ht="21.95" customHeight="1">
      <c r="C15" s="1" t="s">
        <v>208</v>
      </c>
      <c r="D15" s="14">
        <v>0.5</v>
      </c>
      <c r="E15" s="6">
        <v>80000</v>
      </c>
      <c r="F15" s="1">
        <f t="shared" si="0"/>
        <v>40000</v>
      </c>
      <c r="G15" s="1"/>
      <c r="H15" s="1"/>
      <c r="I15" s="1"/>
    </row>
    <row r="16" spans="3:9" ht="21.95" customHeight="1">
      <c r="C16" s="1"/>
      <c r="D16" s="18"/>
      <c r="E16" s="1"/>
      <c r="F16" s="1"/>
      <c r="G16" s="1"/>
      <c r="H16" s="1"/>
      <c r="I16" s="1"/>
    </row>
    <row r="17" spans="3:9" ht="21.95" customHeight="1">
      <c r="C17" s="19" t="s">
        <v>209</v>
      </c>
      <c r="D17" s="20">
        <f>SUM(D8:D15)</f>
        <v>12</v>
      </c>
      <c r="E17" s="19"/>
      <c r="F17" s="21">
        <f>SUM(F8:F15)</f>
        <v>920000</v>
      </c>
      <c r="G17" s="1"/>
      <c r="H17" s="1"/>
      <c r="I17" s="1"/>
    </row>
    <row r="18" spans="3:9" ht="21.95" customHeight="1">
      <c r="C18" s="1"/>
      <c r="D18" s="1"/>
      <c r="E18" s="1"/>
      <c r="F18" s="1"/>
      <c r="G18" s="1"/>
      <c r="H18" s="1"/>
      <c r="I18" s="1"/>
    </row>
    <row r="19" spans="3:9" ht="21.95" customHeight="1">
      <c r="C19" s="1"/>
      <c r="D19" s="1"/>
      <c r="E19" s="1"/>
      <c r="F19" s="1"/>
      <c r="G19" s="1"/>
      <c r="H19" s="1"/>
      <c r="I19" s="1"/>
    </row>
    <row r="20" spans="3:9" ht="21.95" customHeight="1">
      <c r="C20" s="1" t="s">
        <v>210</v>
      </c>
      <c r="D20" s="1"/>
      <c r="E20" s="1"/>
      <c r="F20" s="1"/>
      <c r="G20" s="1"/>
      <c r="H20" s="1"/>
      <c r="I20" s="1"/>
    </row>
    <row r="21" spans="3:9" ht="21.95" customHeight="1">
      <c r="C21" s="1" t="s">
        <v>211</v>
      </c>
      <c r="D21" s="1"/>
      <c r="E21" s="1"/>
      <c r="F21" s="1"/>
      <c r="G21" s="1"/>
      <c r="H21" s="1"/>
      <c r="I21" s="1"/>
    </row>
    <row r="22" spans="3:9" ht="21.95" customHeight="1">
      <c r="C22" s="1" t="s">
        <v>212</v>
      </c>
      <c r="D22" s="1"/>
      <c r="E22" s="1"/>
      <c r="F22" s="1"/>
      <c r="G22" s="1"/>
      <c r="H22" s="1"/>
      <c r="I22" s="1"/>
    </row>
    <row r="23" spans="3:9" ht="21.95" customHeight="1">
      <c r="C23" s="1" t="s">
        <v>213</v>
      </c>
      <c r="D23" s="1"/>
      <c r="E23" s="1"/>
      <c r="F23" s="1"/>
      <c r="G23" s="1"/>
      <c r="H23" s="1"/>
      <c r="I23" s="1"/>
    </row>
    <row r="24" spans="3:9" ht="21.95" customHeight="1">
      <c r="C24" s="1" t="s">
        <v>214</v>
      </c>
      <c r="D24" s="1"/>
      <c r="E24" s="1"/>
      <c r="F24" s="1"/>
      <c r="G24" s="1"/>
      <c r="H24" s="1"/>
      <c r="I24" s="1"/>
    </row>
    <row r="25" spans="3:9" ht="21.95" customHeight="1">
      <c r="C25" s="1"/>
      <c r="D25" s="1"/>
      <c r="E25" s="1"/>
      <c r="F25" s="1"/>
      <c r="G25" s="1"/>
      <c r="H25" s="1"/>
      <c r="I25" s="1"/>
    </row>
    <row r="26" spans="3:9" ht="21.95" customHeight="1">
      <c r="C26" s="1"/>
      <c r="D26" s="1"/>
      <c r="E26" s="1"/>
      <c r="F26" s="1"/>
      <c r="G26" s="1"/>
      <c r="H26" s="1"/>
      <c r="I26" s="1"/>
    </row>
    <row r="27" spans="3:9" ht="21.95" customHeight="1">
      <c r="C27" s="1"/>
      <c r="D27" s="1"/>
      <c r="E27" s="1"/>
      <c r="F27" s="1"/>
      <c r="G27" s="1"/>
      <c r="H27" s="1"/>
      <c r="I2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I41"/>
  <sheetViews>
    <sheetView showGridLines="0" workbookViewId="0">
      <pane ySplit="7" topLeftCell="A8" activePane="bottomLeft" state="frozen"/>
      <selection pane="bottomLeft"/>
    </sheetView>
  </sheetViews>
  <sheetFormatPr defaultRowHeight="14.25"/>
  <cols>
    <col min="1" max="2" width="2" customWidth="1"/>
    <col min="3" max="3" width="46" customWidth="1"/>
    <col min="4" max="7" width="17" customWidth="1"/>
    <col min="8" max="8" width="16" customWidth="1"/>
    <col min="9" max="9" width="72" customWidth="1"/>
  </cols>
  <sheetData>
    <row r="2" spans="3:9" ht="21.95" customHeight="1">
      <c r="C2" s="2" t="s">
        <v>215</v>
      </c>
      <c r="D2" s="1"/>
      <c r="E2" s="1"/>
      <c r="F2" s="1"/>
      <c r="G2" s="1"/>
      <c r="H2" s="1"/>
      <c r="I2" s="1"/>
    </row>
    <row r="3" spans="3:9" ht="21.95" customHeight="1">
      <c r="C3" s="3"/>
      <c r="D3" s="3"/>
      <c r="E3" s="3"/>
      <c r="F3" s="3"/>
      <c r="G3" s="3"/>
      <c r="H3" s="3"/>
      <c r="I3" s="3"/>
    </row>
    <row r="4" spans="3:9" ht="21.95" customHeight="1">
      <c r="C4" s="1" t="s">
        <v>1</v>
      </c>
      <c r="D4" s="5" t="str">
        <f>Параметры!E5</f>
        <v>Базовый</v>
      </c>
      <c r="E4" s="1"/>
      <c r="F4" s="1"/>
      <c r="G4" s="1"/>
      <c r="H4" s="1"/>
      <c r="I4" s="1"/>
    </row>
    <row r="5" spans="3:9" ht="21.95" customHeight="1">
      <c r="C5" s="1"/>
      <c r="D5" s="1"/>
      <c r="E5" s="1"/>
      <c r="F5" s="1"/>
      <c r="G5" s="1"/>
      <c r="H5" s="1"/>
      <c r="I5" s="1"/>
    </row>
    <row r="6" spans="3:9" ht="21.95" customHeight="1">
      <c r="C6" s="1"/>
      <c r="D6" s="1"/>
      <c r="E6" s="1"/>
      <c r="F6" s="1"/>
      <c r="G6" s="1"/>
      <c r="H6" s="1"/>
      <c r="I6" s="1"/>
    </row>
    <row r="7" spans="3:9" ht="21.95" customHeight="1">
      <c r="C7" s="17" t="s">
        <v>216</v>
      </c>
      <c r="D7" s="17" t="s">
        <v>217</v>
      </c>
      <c r="E7" s="17" t="s">
        <v>218</v>
      </c>
      <c r="F7" s="17" t="s">
        <v>219</v>
      </c>
      <c r="G7" s="17" t="s">
        <v>220</v>
      </c>
      <c r="H7" s="1"/>
      <c r="I7" s="1"/>
    </row>
    <row r="8" spans="3:9" ht="21.95" customHeight="1">
      <c r="C8" s="1" t="s">
        <v>221</v>
      </c>
      <c r="D8" s="4">
        <f>Параметры!D10/2</f>
        <v>30</v>
      </c>
      <c r="E8" s="1" t="s">
        <v>222</v>
      </c>
      <c r="F8" s="6">
        <v>39900</v>
      </c>
      <c r="G8" s="7">
        <f t="shared" ref="G8:G21" si="0">D8*F8</f>
        <v>1197000</v>
      </c>
      <c r="H8" s="1"/>
      <c r="I8" s="1" t="s">
        <v>223</v>
      </c>
    </row>
    <row r="9" spans="3:9" ht="21.95" customHeight="1">
      <c r="C9" s="1" t="s">
        <v>224</v>
      </c>
      <c r="D9" s="4">
        <f>Параметры!D10/2</f>
        <v>30</v>
      </c>
      <c r="E9" s="1" t="s">
        <v>222</v>
      </c>
      <c r="F9" s="6">
        <v>55900</v>
      </c>
      <c r="G9" s="7">
        <f t="shared" si="0"/>
        <v>1677000</v>
      </c>
      <c r="H9" s="1"/>
      <c r="I9" s="1" t="s">
        <v>225</v>
      </c>
    </row>
    <row r="10" spans="3:9" ht="21.95" customHeight="1">
      <c r="C10" s="1" t="s">
        <v>226</v>
      </c>
      <c r="D10" s="4">
        <f>Параметры!D10</f>
        <v>60</v>
      </c>
      <c r="E10" s="1" t="s">
        <v>222</v>
      </c>
      <c r="F10" s="6">
        <v>24900</v>
      </c>
      <c r="G10" s="7">
        <f t="shared" si="0"/>
        <v>1494000</v>
      </c>
      <c r="H10" s="1"/>
      <c r="I10" s="1" t="s">
        <v>227</v>
      </c>
    </row>
    <row r="11" spans="3:9" ht="21.95" customHeight="1">
      <c r="C11" s="1" t="s">
        <v>228</v>
      </c>
      <c r="D11" s="4">
        <f>Параметры!D10</f>
        <v>60</v>
      </c>
      <c r="E11" s="1" t="s">
        <v>229</v>
      </c>
      <c r="F11" s="6">
        <v>25000</v>
      </c>
      <c r="G11" s="7">
        <f t="shared" si="0"/>
        <v>1500000</v>
      </c>
      <c r="H11" s="1"/>
      <c r="I11" s="1" t="s">
        <v>230</v>
      </c>
    </row>
    <row r="12" spans="3:9" ht="21.95" customHeight="1">
      <c r="C12" s="1" t="s">
        <v>231</v>
      </c>
      <c r="D12" s="6">
        <v>2</v>
      </c>
      <c r="E12" s="1" t="s">
        <v>222</v>
      </c>
      <c r="F12" s="6">
        <v>79900</v>
      </c>
      <c r="G12" s="7">
        <f t="shared" si="0"/>
        <v>159800</v>
      </c>
      <c r="H12" s="1"/>
      <c r="I12" s="1" t="s">
        <v>232</v>
      </c>
    </row>
    <row r="13" spans="3:9" ht="21.95" customHeight="1">
      <c r="C13" s="1" t="s">
        <v>233</v>
      </c>
      <c r="D13" s="6">
        <v>10</v>
      </c>
      <c r="E13" s="1" t="s">
        <v>222</v>
      </c>
      <c r="F13" s="6">
        <v>6900</v>
      </c>
      <c r="G13" s="7">
        <f t="shared" si="0"/>
        <v>69000</v>
      </c>
      <c r="H13" s="1"/>
      <c r="I13" s="1" t="s">
        <v>234</v>
      </c>
    </row>
    <row r="14" spans="3:9" ht="21.95" customHeight="1">
      <c r="C14" s="1" t="s">
        <v>235</v>
      </c>
      <c r="D14" s="6">
        <v>10</v>
      </c>
      <c r="E14" s="1" t="s">
        <v>222</v>
      </c>
      <c r="F14" s="6">
        <v>16900</v>
      </c>
      <c r="G14" s="7">
        <f t="shared" si="0"/>
        <v>169000</v>
      </c>
      <c r="H14" s="1"/>
      <c r="I14" s="1" t="s">
        <v>236</v>
      </c>
    </row>
    <row r="15" spans="3:9" ht="21.95" customHeight="1">
      <c r="C15" s="1" t="s">
        <v>237</v>
      </c>
      <c r="D15" s="6">
        <v>1</v>
      </c>
      <c r="E15" s="1" t="s">
        <v>229</v>
      </c>
      <c r="F15" s="6">
        <v>900000</v>
      </c>
      <c r="G15" s="7">
        <f t="shared" si="0"/>
        <v>900000</v>
      </c>
      <c r="H15" s="1"/>
      <c r="I15" s="1" t="s">
        <v>230</v>
      </c>
    </row>
    <row r="16" spans="3:9" ht="21.95" customHeight="1">
      <c r="C16" s="1" t="s">
        <v>238</v>
      </c>
      <c r="D16" s="6">
        <v>1</v>
      </c>
      <c r="E16" s="1" t="s">
        <v>229</v>
      </c>
      <c r="F16" s="6">
        <v>1200000</v>
      </c>
      <c r="G16" s="7">
        <f t="shared" si="0"/>
        <v>1200000</v>
      </c>
      <c r="H16" s="1"/>
      <c r="I16" s="1" t="s">
        <v>230</v>
      </c>
    </row>
    <row r="17" spans="3:9" ht="21.95" customHeight="1">
      <c r="C17" s="1" t="s">
        <v>239</v>
      </c>
      <c r="D17" s="6">
        <v>1</v>
      </c>
      <c r="E17" s="1" t="s">
        <v>229</v>
      </c>
      <c r="F17" s="6">
        <v>650000</v>
      </c>
      <c r="G17" s="7">
        <f t="shared" si="0"/>
        <v>650000</v>
      </c>
      <c r="H17" s="1"/>
      <c r="I17" s="1" t="s">
        <v>230</v>
      </c>
    </row>
    <row r="18" spans="3:9" ht="21.95" customHeight="1">
      <c r="C18" s="1" t="s">
        <v>240</v>
      </c>
      <c r="D18" s="6">
        <v>1</v>
      </c>
      <c r="E18" s="1" t="s">
        <v>229</v>
      </c>
      <c r="F18" s="6">
        <v>400000</v>
      </c>
      <c r="G18" s="7">
        <f t="shared" si="0"/>
        <v>400000</v>
      </c>
      <c r="H18" s="1"/>
      <c r="I18" s="1" t="s">
        <v>230</v>
      </c>
    </row>
    <row r="19" spans="3:9" ht="21.95" customHeight="1">
      <c r="C19" s="1" t="s">
        <v>241</v>
      </c>
      <c r="D19" s="6">
        <v>1</v>
      </c>
      <c r="E19" s="1" t="s">
        <v>229</v>
      </c>
      <c r="F19" s="6">
        <v>300000</v>
      </c>
      <c r="G19" s="7">
        <f t="shared" si="0"/>
        <v>300000</v>
      </c>
      <c r="H19" s="1"/>
      <c r="I19" s="1" t="s">
        <v>230</v>
      </c>
    </row>
    <row r="20" spans="3:9" ht="21.95" customHeight="1">
      <c r="C20" s="1" t="s">
        <v>242</v>
      </c>
      <c r="D20" s="6">
        <v>1</v>
      </c>
      <c r="E20" s="1" t="s">
        <v>229</v>
      </c>
      <c r="F20" s="6">
        <v>400000</v>
      </c>
      <c r="G20" s="7">
        <f t="shared" si="0"/>
        <v>400000</v>
      </c>
      <c r="H20" s="1"/>
      <c r="I20" s="1" t="s">
        <v>230</v>
      </c>
    </row>
    <row r="21" spans="3:9" ht="21.95" customHeight="1">
      <c r="C21" s="1" t="s">
        <v>243</v>
      </c>
      <c r="D21" s="6">
        <v>2</v>
      </c>
      <c r="E21" s="1" t="s">
        <v>229</v>
      </c>
      <c r="F21" s="6">
        <v>105800</v>
      </c>
      <c r="G21" s="7">
        <f t="shared" si="0"/>
        <v>211600</v>
      </c>
      <c r="H21" s="1"/>
      <c r="I21" s="1" t="s">
        <v>244</v>
      </c>
    </row>
    <row r="22" spans="3:9" ht="21.95" customHeight="1">
      <c r="C22" s="1" t="s">
        <v>245</v>
      </c>
      <c r="D22" s="1"/>
      <c r="E22" s="1"/>
      <c r="F22" s="1"/>
      <c r="G22" s="7">
        <f>SUM(G8:G21)</f>
        <v>10327400</v>
      </c>
      <c r="H22" s="1"/>
      <c r="I22" s="1"/>
    </row>
    <row r="23" spans="3:9" ht="21.95" customHeight="1">
      <c r="C23" s="1" t="s">
        <v>246</v>
      </c>
      <c r="D23" s="1"/>
      <c r="E23" s="1"/>
      <c r="F23" s="15">
        <v>0.15</v>
      </c>
      <c r="G23" s="7">
        <f>G22*F23</f>
        <v>1549110</v>
      </c>
      <c r="H23" s="1"/>
      <c r="I23" s="1"/>
    </row>
    <row r="24" spans="3:9" ht="21.95" customHeight="1">
      <c r="C24" s="23" t="s">
        <v>247</v>
      </c>
      <c r="D24" s="23"/>
      <c r="E24" s="23"/>
      <c r="F24" s="23"/>
      <c r="G24" s="24">
        <f>SUM(G22:G23)</f>
        <v>11876510</v>
      </c>
      <c r="H24" s="1"/>
      <c r="I24" s="1"/>
    </row>
    <row r="25" spans="3:9" ht="21.95" customHeight="1">
      <c r="C25" s="1"/>
      <c r="D25" s="1"/>
      <c r="E25" s="1"/>
      <c r="F25" s="1"/>
      <c r="G25" s="1"/>
      <c r="H25" s="1"/>
      <c r="I25" s="1"/>
    </row>
    <row r="26" spans="3:9" ht="21.95" customHeight="1">
      <c r="C26" s="1" t="s">
        <v>248</v>
      </c>
      <c r="D26" s="1"/>
      <c r="E26" s="1"/>
      <c r="F26" s="1"/>
      <c r="G26" s="6">
        <v>2000000</v>
      </c>
      <c r="H26" s="1"/>
      <c r="I26" s="1"/>
    </row>
    <row r="27" spans="3:9" ht="21.95" customHeight="1">
      <c r="C27" s="1" t="s">
        <v>249</v>
      </c>
      <c r="D27" s="1"/>
      <c r="E27" s="1"/>
      <c r="F27" s="1"/>
      <c r="G27" s="6">
        <v>350000</v>
      </c>
      <c r="H27" s="1"/>
      <c r="I27" s="1"/>
    </row>
    <row r="28" spans="3:9" ht="21.95" customHeight="1">
      <c r="C28" s="1" t="s">
        <v>250</v>
      </c>
      <c r="D28" s="6">
        <v>2</v>
      </c>
      <c r="E28" s="1"/>
      <c r="F28" s="4">
        <f>Параметры!D41</f>
        <v>1290170</v>
      </c>
      <c r="G28" s="7">
        <f>D28*F28</f>
        <v>2580340</v>
      </c>
      <c r="H28" s="1"/>
      <c r="I28" s="1"/>
    </row>
    <row r="29" spans="3:9" ht="21.95" customHeight="1">
      <c r="C29" s="1"/>
      <c r="D29" s="1"/>
      <c r="E29" s="1"/>
      <c r="F29" s="1"/>
      <c r="G29" s="1"/>
      <c r="H29" s="1"/>
      <c r="I29" s="1"/>
    </row>
    <row r="30" spans="3:9" ht="21.95" customHeight="1">
      <c r="C30" s="23" t="s">
        <v>251</v>
      </c>
      <c r="D30" s="23"/>
      <c r="E30" s="23"/>
      <c r="F30" s="23"/>
      <c r="G30" s="24">
        <f>SUM(G24,G26)</f>
        <v>13876510</v>
      </c>
      <c r="H30" s="1"/>
      <c r="I30" s="1"/>
    </row>
    <row r="31" spans="3:9" ht="21.95" customHeight="1">
      <c r="C31" s="23" t="s">
        <v>19</v>
      </c>
      <c r="D31" s="23"/>
      <c r="E31" s="23"/>
      <c r="F31" s="23"/>
      <c r="G31" s="24">
        <f>SUM(G30,G27:G28)</f>
        <v>16806850</v>
      </c>
      <c r="H31" s="1"/>
      <c r="I31" s="1"/>
    </row>
    <row r="32" spans="3:9" ht="21.95" customHeight="1">
      <c r="C32" s="1" t="s">
        <v>252</v>
      </c>
      <c r="D32" s="1"/>
      <c r="E32" s="1"/>
      <c r="F32" s="1"/>
      <c r="G32" s="4">
        <f>Параметры!D63</f>
        <v>8000000</v>
      </c>
      <c r="H32" s="1"/>
      <c r="I32" s="1"/>
    </row>
    <row r="33" spans="3:9" ht="21.95" customHeight="1">
      <c r="C33" s="23" t="s">
        <v>253</v>
      </c>
      <c r="D33" s="23"/>
      <c r="E33" s="23"/>
      <c r="F33" s="23"/>
      <c r="G33" s="24">
        <f>SUM(G31:G32)</f>
        <v>24806850</v>
      </c>
      <c r="H33" s="1"/>
      <c r="I33" s="1"/>
    </row>
    <row r="34" spans="3:9" ht="21.95" customHeight="1">
      <c r="C34" s="1"/>
      <c r="D34" s="1"/>
      <c r="E34" s="1"/>
      <c r="F34" s="1"/>
      <c r="G34" s="1"/>
      <c r="H34" s="1"/>
      <c r="I34" s="1"/>
    </row>
    <row r="35" spans="3:9" ht="21.95" customHeight="1">
      <c r="C35" s="1"/>
      <c r="D35" s="1"/>
      <c r="E35" s="1"/>
      <c r="F35" s="1"/>
      <c r="G35" s="1"/>
      <c r="H35" s="1"/>
      <c r="I35" s="1"/>
    </row>
    <row r="36" spans="3:9" ht="21.95" customHeight="1">
      <c r="C36" s="1" t="s">
        <v>254</v>
      </c>
      <c r="D36" s="1"/>
      <c r="E36" s="1"/>
      <c r="F36" s="1"/>
      <c r="G36" s="1"/>
      <c r="H36" s="1"/>
      <c r="I36" s="1"/>
    </row>
    <row r="37" spans="3:9" ht="21.95" customHeight="1">
      <c r="C37" s="1" t="s">
        <v>255</v>
      </c>
      <c r="D37" s="1"/>
      <c r="E37" s="1"/>
      <c r="F37" s="1"/>
      <c r="G37" s="1"/>
      <c r="H37" s="1"/>
      <c r="I37" s="1"/>
    </row>
    <row r="38" spans="3:9" ht="21.95" customHeight="1">
      <c r="C38" s="1" t="s">
        <v>256</v>
      </c>
      <c r="D38" s="1"/>
      <c r="E38" s="1"/>
      <c r="F38" s="1"/>
      <c r="G38" s="1"/>
      <c r="H38" s="1"/>
      <c r="I38" s="1"/>
    </row>
    <row r="39" spans="3:9" ht="21.95" customHeight="1">
      <c r="C39" s="1" t="s">
        <v>257</v>
      </c>
      <c r="D39" s="1"/>
      <c r="E39" s="1"/>
      <c r="F39" s="1"/>
      <c r="G39" s="1"/>
      <c r="H39" s="1"/>
      <c r="I39" s="1"/>
    </row>
    <row r="40" spans="3:9" ht="21.95" customHeight="1">
      <c r="C40" s="1" t="s">
        <v>258</v>
      </c>
      <c r="D40" s="1"/>
      <c r="E40" s="1"/>
      <c r="F40" s="1"/>
      <c r="G40" s="1"/>
      <c r="H40" s="1"/>
      <c r="I40" s="1"/>
    </row>
    <row r="41" spans="3:9" ht="21.95" customHeight="1">
      <c r="C41" s="1" t="s">
        <v>259</v>
      </c>
      <c r="D41" s="1"/>
      <c r="E41" s="1"/>
      <c r="F41" s="1"/>
      <c r="G41" s="1"/>
      <c r="H41" s="1"/>
      <c r="I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Итоги</vt:lpstr>
      <vt:lpstr>Параметры</vt:lpstr>
      <vt:lpstr>Помесячно</vt:lpstr>
      <vt:lpstr>Штат</vt:lpstr>
      <vt:lpstr>Инвестиции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/>
  <ns1:modified xsi:type="dcterms:W3CDTF">2026-09-16T08:40:18Z</ns1:modified>
</ns0:coreProperties>
</file>